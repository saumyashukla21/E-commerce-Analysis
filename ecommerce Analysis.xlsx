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apna\Downloads\"/>
    </mc:Choice>
  </mc:AlternateContent>
  <xr:revisionPtr revIDLastSave="0" documentId="13_ncr:1_{FF88F111-C2E8-4B19-997E-D2F9E6FB4538}" xr6:coauthVersionLast="47" xr6:coauthVersionMax="47" xr10:uidLastSave="{00000000-0000-0000-0000-000000000000}"/>
  <bookViews>
    <workbookView xWindow="-110" yWindow="-110" windowWidth="19420" windowHeight="11500" activeTab="2" xr2:uid="{346724B3-1C49-40AE-AA36-C77CF5D6DD09}"/>
  </bookViews>
  <sheets>
    <sheet name="Data" sheetId="1" r:id="rId1"/>
    <sheet name="Pivot Table" sheetId="5" r:id="rId2"/>
    <sheet name="Dashboard" sheetId="6" r:id="rId3"/>
    <sheet name="Pivot 2" sheetId="7" r:id="rId4"/>
    <sheet name="Questions &amp; KPIs" sheetId="2" r:id="rId5"/>
  </sheets>
  <definedNames>
    <definedName name="_xlchart.v5.0" hidden="1">'Pivot Table'!$W$10:$X$38</definedName>
    <definedName name="_xlchart.v5.1" hidden="1">'Pivot Table'!$W$9:$X$9</definedName>
    <definedName name="_xlchart.v5.2" hidden="1">'Pivot Table'!$Y$10:$Y$38</definedName>
    <definedName name="_xlchart.v5.3" hidden="1">'Pivot Table'!$Y$9</definedName>
    <definedName name="_xlchart.v5.4" hidden="1">'Pivot Table'!$S$10:$T$38</definedName>
    <definedName name="_xlchart.v5.5" hidden="1">'Pivot Table'!$S$9:$T$9</definedName>
    <definedName name="_xlchart.v5.6" hidden="1">'Pivot Table'!$U$10:$U$38</definedName>
    <definedName name="_xlchart.v5.7" hidden="1">'Pivot Table'!$U$9</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 i="5" l="1"/>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10" i="5"/>
  <c r="S10"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U9" i="5"/>
  <c r="S9" i="5"/>
  <c r="T9" i="5"/>
  <c r="W9" i="5"/>
  <c r="X9" i="5"/>
  <c r="Y9" i="5"/>
  <c r="I4" i="7"/>
  <c r="I5" i="7"/>
  <c r="J5" i="7"/>
  <c r="K5" i="7"/>
  <c r="L5" i="7"/>
  <c r="I6" i="7"/>
  <c r="J6" i="7"/>
  <c r="K6" i="7"/>
  <c r="L6" i="7"/>
  <c r="I7" i="7"/>
  <c r="J7" i="7"/>
  <c r="K7" i="7"/>
  <c r="L7" i="7"/>
  <c r="I8" i="7"/>
  <c r="J8" i="7"/>
  <c r="K8" i="7"/>
  <c r="L8" i="7"/>
  <c r="I9" i="7"/>
  <c r="J9" i="7"/>
  <c r="K9" i="7"/>
  <c r="L9" i="7"/>
  <c r="L4" i="7"/>
  <c r="J4" i="7"/>
  <c r="K4" i="7"/>
  <c r="H6" i="7"/>
  <c r="H7" i="7"/>
  <c r="H8" i="7"/>
  <c r="H9" i="7"/>
  <c r="H5" i="7"/>
  <c r="I4" i="5"/>
  <c r="J4" i="5"/>
  <c r="K4" i="5"/>
  <c r="H4" i="5"/>
  <c r="G4" i="5"/>
  <c r="O2" i="1" a="1"/>
  <c r="O2" i="1" s="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<sst xmlns="http://schemas.openxmlformats.org/spreadsheetml/2006/main" count="14636" uniqueCount="2540">
  <si>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</si>
  <si>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</si>
  <si>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</si>
  <si>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</si>
  <si>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</si>
  <si>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</si>
  <si>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</si>
  <si>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</si>
  <si>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</si>
  <si>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</si>
  <si>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</si>
  <si>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</si>
  <si>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</si>
  <si>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</si>
  <si>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</si>
  <si>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</si>
  <si>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</si>
  <si>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</si>
  <si>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</si>
  <si>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</si>
  <si>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</si>
  <si>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</si>
  <si>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</si>
  <si>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</si>
  <si>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</si>
  <si>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</si>
  <si>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</si>
  <si>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</si>
  <si>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</si>
  <si>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</si>
  <si>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</si>
  <si>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</si>
  <si>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</si>
  <si>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</si>
  <si>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</si>
  <si>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</si>
  <si>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</si>
  <si>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</si>
  <si>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</si>
  <si>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</si>
  <si>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</si>
  <si>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</si>
  <si>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</si>
  <si>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</si>
  <si>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</si>
  <si>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</si>
  <si>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</si>
  <si>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</si>
  <si>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</si>
  <si>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</si>
  <si>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</si>
  <si>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</si>
  <si>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</si>
  <si>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</si>
  <si>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</si>
  <si>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</si>
  <si>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</si>
  <si>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</si>
  <si>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</si>
  <si>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</si>
  <si>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</si>
  <si>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</si>
  <si>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</si>
  <si>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</si>
  <si>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</si>
  <si>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</si>
  <si>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</si>
  <si>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</si>
  <si>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</si>
  <si>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</si>
  <si>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</si>
  <si>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</si>
  <si>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</si>
  <si>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</si>
  <si>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</si>
  <si>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</si>
  <si>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</si>
  <si>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</si>
  <si>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</si>
  <si>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</si>
  <si>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</si>
  <si>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</si>
  <si>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</si>
  <si>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</si>
  <si>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</si>
  <si>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</si>
  <si>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</si>
  <si>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</si>
  <si>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</si>
  <si>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</si>
  <si>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</si>
  <si>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</si>
  <si>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</si>
  <si>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</si>
  <si>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</si>
  <si>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</si>
  <si>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</si>
  <si>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</si>
  <si>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</si>
  <si>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</si>
  <si>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</si>
  <si>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</si>
  <si>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</si>
  <si>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</si>
  <si>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</si>
  <si>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</si>
  <si>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</si>
  <si>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</si>
  <si>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</si>
  <si>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</si>
  <si>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</si>
  <si>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</si>
  <si>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</si>
  <si>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</si>
  <si>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</si>
  <si>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</si>
  <si>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</si>
  <si>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</si>
  <si>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</si>
  <si>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</si>
  <si>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</si>
  <si>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</si>
  <si>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</si>
  <si>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</si>
  <si>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</si>
  <si>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</si>
  <si>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</si>
  <si>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</si>
  <si>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</si>
  <si>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</si>
  <si>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</si>
  <si>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</si>
  <si>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</si>
  <si>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</si>
  <si>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</si>
  <si>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</si>
  <si>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</si>
  <si>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</si>
  <si>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</si>
  <si>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</si>
  <si>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</si>
  <si>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</si>
  <si>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</si>
  <si>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</si>
  <si>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</si>
  <si>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</si>
  <si>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</si>
  <si>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</si>
  <si>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</si>
  <si>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</si>
  <si>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</si>
  <si>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</si>
  <si>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</si>
  <si>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</si>
  <si>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</si>
  <si>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</si>
  <si>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</si>
  <si>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</si>
  <si>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</si>
  <si>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</si>
  <si>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</si>
  <si>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</si>
  <si>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</si>
  <si>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</si>
  <si>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</si>
  <si>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</si>
  <si>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</si>
  <si>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</si>
  <si>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</si>
  <si>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</si>
  <si>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</si>
  <si>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</si>
  <si>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</si>
  <si>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</si>
  <si>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</si>
  <si>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</si>
  <si>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</si>
  <si>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</si>
  <si>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</si>
  <si>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</si>
  <si>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</si>
  <si>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</si>
  <si>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</si>
  <si>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</si>
  <si>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</si>
  <si>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</si>
  <si>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</si>
  <si>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</si>
  <si>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</si>
  <si>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</si>
  <si>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</si>
  <si>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</si>
  <si>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</si>
  <si>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</si>
  <si>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</si>
  <si>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</si>
  <si>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</si>
  <si>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</si>
  <si>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</si>
  <si>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</si>
  <si>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</si>
  <si>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</si>
  <si>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</si>
  <si>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</si>
  <si>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</si>
  <si>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</si>
  <si>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</si>
  <si>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</si>
  <si>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</si>
  <si>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</si>
  <si>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</si>
  <si>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</si>
  <si>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</si>
  <si>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</si>
  <si>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</si>
  <si>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</si>
  <si>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</si>
  <si>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</si>
  <si>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</si>
  <si>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</si>
  <si>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</si>
  <si>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</si>
  <si>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</si>
  <si>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</si>
  <si>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</si>
  <si>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</si>
  <si>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</si>
  <si>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</si>
  <si>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</si>
  <si>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</si>
  <si>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</si>
  <si>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</si>
  <si>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</si>
  <si>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</si>
  <si>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</si>
  <si>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</si>
  <si>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</si>
  <si>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</si>
  <si>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</si>
  <si>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</si>
  <si>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</si>
  <si>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</si>
  <si>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</si>
  <si>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</si>
  <si>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</si>
  <si>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</si>
  <si>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</si>
  <si>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</si>
  <si>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</si>
  <si>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</si>
  <si>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</si>
  <si>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</si>
  <si>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</si>
  <si>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</si>
  <si>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</si>
  <si>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</si>
  <si>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</si>
  <si>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</si>
  <si>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</si>
  <si>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</si>
  <si>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</si>
  <si>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</si>
  <si>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</si>
  <si>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</si>
  <si>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</si>
  <si>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</si>
  <si>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</si>
  <si>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</si>
  <si>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</si>
  <si>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</si>
  <si>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</si>
  <si>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</si>
  <si>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</si>
  <si>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</si>
  <si>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</si>
  <si>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</si>
  <si>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</si>
  <si>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</si>
  <si>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</si>
  <si>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</si>
  <si>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</si>
  <si>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</si>
  <si>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</si>
  <si>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</si>
  <si>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</si>
  <si>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</si>
  <si>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</si>
  <si>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</si>
  <si>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</si>
  <si>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</si>
  <si>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</si>
  <si>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</si>
  <si>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</si>
  <si>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</si>
  <si>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</si>
  <si>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</si>
  <si>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</si>
  <si>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</si>
  <si>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</si>
  <si>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</si>
  <si>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</si>
  <si>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</si>
  <si>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</si>
  <si>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</si>
  <si>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</si>
  <si>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</si>
  <si>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</si>
  <si>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</si>
  <si>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</si>
  <si>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</si>
  <si>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</si>
  <si>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</si>
  <si>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</si>
  <si>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</si>
  <si>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</si>
  <si>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</si>
  <si>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</si>
  <si>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</si>
  <si>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</si>
  <si>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</si>
  <si>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</si>
  <si>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</si>
  <si>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</si>
  <si>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</si>
  <si>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</si>
  <si>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</si>
  <si>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</si>
  <si>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</si>
  <si>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</si>
  <si>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</si>
  <si>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</si>
  <si>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</si>
  <si>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</si>
  <si>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</si>
  <si>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</si>
  <si>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</si>
  <si>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</si>
  <si>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</si>
  <si>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</si>
  <si>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</si>
  <si>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</si>
  <si>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</si>
  <si>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</si>
  <si>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</si>
  <si>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</si>
  <si>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</si>
  <si>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</si>
  <si>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</si>
  <si>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</si>
  <si>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</si>
  <si>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</si>
  <si>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</si>
  <si>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</si>
  <si>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</si>
  <si>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</si>
  <si>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</si>
  <si>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</si>
  <si>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</si>
  <si>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</si>
  <si>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</si>
  <si>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</si>
  <si>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</si>
  <si>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</si>
  <si>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</si>
  <si>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</si>
  <si>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</si>
  <si>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</si>
  <si>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</si>
  <si>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</si>
  <si>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</si>
  <si>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</si>
  <si>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</si>
  <si>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</si>
  <si>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</si>
  <si>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</si>
  <si>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</si>
  <si>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</si>
  <si>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</si>
  <si>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</si>
  <si>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</si>
  <si>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</si>
  <si>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</si>
  <si>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</si>
  <si>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</si>
  <si>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</si>
  <si>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</si>
  <si>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</si>
  <si>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</si>
  <si>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</si>
  <si>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</si>
  <si>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</si>
  <si>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</si>
  <si>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</si>
  <si>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</si>
  <si>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</si>
  <si>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</si>
  <si>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</si>
  <si>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</si>
  <si>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</si>
  <si>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</si>
  <si>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</si>
  <si>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</si>
  <si>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</si>
  <si>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</si>
  <si>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</si>
  <si>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</si>
  <si>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</si>
  <si>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</si>
  <si>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</si>
  <si>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</si>
  <si>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</si>
  <si>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</si>
  <si>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</si>
  <si>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</si>
  <si>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</si>
  <si>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</si>
  <si>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</si>
  <si>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</si>
  <si>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</si>
  <si>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</si>
  <si>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</si>
  <si>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</si>
  <si>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</si>
  <si>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</si>
  <si>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</si>
  <si>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</si>
  <si>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</si>
  <si>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</si>
  <si>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</si>
  <si>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</si>
  <si>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</si>
  <si>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</si>
  <si>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</si>
  <si>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</si>
  <si>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</si>
  <si>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</si>
  <si>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</si>
  <si>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</si>
  <si>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</si>
  <si>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</si>
  <si>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</si>
  <si>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</si>
  <si>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</si>
  <si>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</si>
  <si>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</si>
  <si>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</si>
  <si>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</si>
  <si>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</si>
  <si>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</si>
  <si>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</si>
  <si>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</si>
  <si>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</si>
  <si>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</si>
  <si>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</si>
  <si>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</si>
  <si>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</si>
  <si>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</si>
  <si>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</si>
  <si>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</si>
  <si>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</si>
  <si>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</si>
  <si>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</si>
  <si>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</si>
  <si>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</si>
  <si>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</si>
  <si>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</si>
  <si>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</si>
  <si>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</si>
  <si>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</si>
  <si>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</si>
  <si>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</si>
  <si>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</si>
  <si>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</si>
  <si>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</si>
  <si>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</si>
  <si>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</si>
  <si>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</si>
  <si>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</si>
  <si>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</si>
  <si>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</si>
  <si>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</si>
  <si>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</si>
  <si>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</si>
  <si>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</si>
  <si>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</si>
  <si>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</si>
  <si>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</si>
  <si>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</si>
  <si>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</si>
  <si>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</si>
  <si>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</si>
  <si>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</si>
  <si>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</si>
  <si>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</si>
  <si>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</si>
  <si>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</si>
  <si>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</si>
  <si>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</si>
  <si>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</si>
  <si>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</si>
  <si>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</si>
  <si>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</si>
  <si>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</si>
  <si>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</si>
  <si>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</si>
  <si>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</si>
  <si>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</si>
  <si>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</si>
  <si>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</si>
  <si>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</si>
  <si>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</si>
  <si>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</si>
  <si>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</si>
  <si>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</si>
  <si>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</si>
  <si>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</si>
  <si>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</si>
  <si>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</si>
  <si>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</si>
  <si>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</si>
  <si>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</si>
  <si>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</si>
  <si>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</si>
  <si>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</si>
  <si>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</si>
  <si>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</si>
  <si>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</si>
  <si>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</si>
  <si>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</si>
  <si>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</si>
  <si>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</si>
  <si>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</si>
  <si>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</si>
  <si>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</si>
  <si>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</si>
  <si>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</si>
  <si>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</si>
  <si>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</si>
  <si>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</si>
  <si>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</si>
  <si>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</si>
  <si>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</si>
  <si>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</si>
  <si>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</si>
  <si>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</si>
  <si>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</si>
  <si>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</si>
  <si>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</si>
  <si>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</si>
  <si>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</si>
  <si>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</si>
  <si>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</si>
  <si>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</si>
  <si>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</si>
  <si>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</si>
  <si>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</si>
  <si>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</si>
  <si>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</si>
  <si>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</si>
  <si>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</si>
  <si>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</si>
  <si>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</si>
  <si>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</si>
  <si>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</si>
  <si>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</si>
  <si>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</si>
  <si>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</si>
  <si>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</si>
  <si>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</si>
  <si>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</si>
  <si>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</si>
  <si>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</si>
  <si>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</si>
  <si>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</si>
  <si>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</si>
  <si>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</si>
  <si>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</si>
  <si>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</si>
  <si>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</si>
  <si>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</si>
  <si>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</si>
  <si>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</si>
  <si>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</si>
  <si>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</si>
  <si>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</si>
  <si>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</si>
  <si>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</si>
  <si>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</si>
  <si>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</si>
  <si>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</si>
  <si>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</si>
  <si>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</si>
  <si>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</si>
  <si>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</si>
  <si>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</si>
  <si>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</si>
  <si>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</si>
  <si>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</si>
  <si>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</si>
  <si>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</si>
  <si>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</si>
  <si>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</si>
  <si>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</si>
  <si>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</si>
  <si>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</si>
  <si>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</si>
  <si>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</si>
  <si>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</si>
  <si>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</si>
  <si>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</si>
  <si>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</si>
  <si>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</si>
  <si>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</si>
  <si>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</si>
  <si>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</si>
  <si>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</si>
  <si>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</si>
  <si>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</si>
  <si>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</si>
  <si>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</si>
  <si>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</si>
  <si>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</si>
  <si>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</si>
  <si>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</si>
  <si>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</si>
  <si>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</si>
  <si>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</si>
  <si>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</si>
  <si>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</si>
  <si>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</si>
  <si>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</si>
  <si>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</si>
  <si>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</si>
  <si>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</si>
  <si>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</si>
  <si>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</si>
  <si>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</si>
  <si>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</si>
  <si>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</si>
  <si>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</si>
  <si>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</si>
  <si>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</si>
  <si>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</si>
  <si>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</si>
  <si>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</si>
  <si>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</si>
  <si>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</si>
  <si>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</si>
  <si>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</si>
  <si>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</si>
  <si>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</si>
  <si>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</si>
  <si>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</si>
  <si>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</si>
  <si>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</si>
  <si>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</si>
  <si>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</si>
  <si>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</si>
  <si>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</si>
  <si>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</si>
  <si>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</si>
  <si>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</si>
  <si>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</si>
  <si>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</si>
  <si>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</si>
  <si>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</si>
  <si>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</si>
  <si>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</si>
  <si>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</si>
  <si>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</si>
  <si>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</si>
  <si>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</si>
  <si>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</si>
  <si>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</si>
  <si>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</si>
  <si>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</si>
  <si>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</si>
  <si>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</si>
  <si>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</si>
  <si>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</si>
  <si>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</si>
  <si>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</si>
  <si>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</si>
  <si>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</si>
  <si>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</si>
  <si>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</si>
  <si>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</si>
  <si>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</si>
  <si>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</si>
  <si>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</si>
  <si>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</si>
  <si>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</si>
  <si>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</si>
  <si>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</si>
  <si>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</si>
  <si>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</si>
  <si>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</si>
  <si>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</si>
  <si>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</si>
  <si>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</si>
  <si>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</si>
  <si>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</si>
  <si>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</si>
  <si>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</si>
  <si>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</si>
  <si>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</si>
  <si>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</si>
  <si>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</si>
  <si>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</si>
  <si>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</si>
  <si>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</si>
  <si>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</si>
  <si>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</si>
  <si>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</si>
  <si>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</si>
  <si>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</si>
  <si>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</si>
  <si>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</si>
  <si>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</si>
  <si>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</si>
  <si>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</si>
  <si>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</si>
  <si>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</si>
  <si>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</si>
  <si>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</si>
  <si>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</si>
  <si>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</si>
  <si>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</si>
  <si>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</si>
  <si>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</si>
  <si>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</si>
  <si>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</si>
  <si>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</si>
  <si>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</si>
  <si>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</si>
  <si>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</si>
  <si>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</si>
  <si>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</si>
  <si>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</si>
  <si>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</si>
  <si>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</si>
  <si>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</si>
  <si>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</si>
  <si>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</si>
  <si>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</si>
  <si>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</si>
  <si>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</si>
  <si>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</si>
  <si>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</si>
  <si>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</si>
  <si>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</si>
  <si>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</si>
  <si>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</si>
  <si>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</si>
  <si>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</si>
  <si>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</si>
  <si>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</si>
  <si>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</si>
  <si>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</si>
  <si>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</si>
  <si>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</si>
  <si>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</si>
  <si>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</si>
  <si>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</si>
  <si>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</si>
  <si>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</si>
  <si>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</si>
  <si>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</si>
  <si>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</si>
  <si>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</si>
  <si>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</si>
  <si>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</si>
  <si>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</si>
  <si>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</si>
  <si>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</si>
  <si>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</si>
  <si>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</si>
  <si>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</si>
  <si>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</si>
  <si>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</si>
  <si>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</si>
  <si>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</si>
  <si>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</si>
  <si>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</si>
  <si>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</si>
  <si>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</si>
  <si>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</si>
  <si>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</si>
  <si>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</si>
  <si>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</si>
  <si>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</si>
  <si>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</si>
  <si>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</si>
  <si>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</si>
  <si>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</si>
  <si>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</si>
  <si>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</si>
  <si>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</si>
  <si>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</si>
  <si>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</si>
  <si>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</si>
  <si>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</si>
  <si>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</si>
  <si>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</si>
  <si>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</si>
  <si>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</si>
  <si>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</si>
  <si>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</si>
  <si>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</si>
  <si>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</si>
  <si>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</si>
  <si>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</si>
  <si>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</si>
  <si>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</si>
  <si>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</si>
  <si>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</si>
  <si>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</si>
  <si>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</si>
  <si>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</si>
  <si>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</si>
  <si>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</si>
  <si>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</si>
  <si>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</si>
  <si>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</si>
  <si>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</si>
  <si>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</si>
  <si>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</si>
  <si>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</si>
  <si>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</si>
  <si>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</si>
  <si>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</si>
  <si>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</si>
  <si>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</si>
  <si>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</si>
  <si>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</si>
  <si>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</si>
  <si>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</si>
  <si>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</si>
  <si>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</si>
  <si>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</si>
  <si>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</si>
  <si>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</si>
  <si>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</si>
  <si>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</si>
  <si>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</si>
  <si>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</si>
  <si>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</si>
  <si>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</si>
  <si>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</si>
  <si>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</si>
  <si>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</si>
  <si>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</si>
  <si>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</si>
  <si>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</si>
  <si>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</si>
  <si>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</si>
  <si>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</si>
  <si>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</si>
  <si>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</si>
  <si>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</si>
  <si>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</si>
  <si>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</si>
  <si>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</si>
  <si>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</si>
  <si>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</si>
  <si>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</si>
  <si>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</si>
  <si>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</si>
  <si>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</si>
  <si>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</si>
  <si>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</si>
  <si>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</si>
  <si>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</si>
  <si>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</si>
  <si>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</si>
  <si>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</si>
  <si>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</si>
  <si>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</si>
  <si>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</si>
  <si>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</si>
  <si>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</si>
  <si>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</si>
  <si>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</si>
  <si>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</si>
  <si>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</si>
  <si>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</si>
  <si>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</si>
  <si>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</si>
  <si>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</si>
  <si>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</si>
  <si>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</si>
  <si>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</si>
  <si>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</si>
  <si>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</si>
  <si>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</si>
  <si>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</si>
  <si>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</si>
  <si>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</si>
  <si>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</si>
  <si>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</si>
  <si>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</si>
  <si>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</si>
  <si>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</si>
  <si>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</si>
  <si>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</si>
  <si>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</si>
  <si>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</si>
  <si>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</si>
  <si>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</si>
  <si>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</si>
  <si>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</si>
  <si>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</si>
  <si>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</si>
  <si>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</si>
  <si>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</si>
  <si>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</si>
  <si>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</si>
  <si>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</si>
  <si>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</si>
  <si>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</si>
  <si>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</si>
  <si>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</si>
  <si>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</si>
  <si>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</si>
  <si>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</si>
  <si>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</si>
  <si>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</si>
  <si>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</si>
  <si>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</si>
  <si>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</si>
  <si>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</si>
  <si>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</si>
  <si>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</si>
  <si>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</si>
  <si>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</si>
  <si>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</si>
  <si>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</si>
  <si>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</si>
  <si>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</si>
  <si>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</si>
  <si>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</si>
  <si>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</si>
  <si>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</si>
  <si>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</si>
  <si>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</si>
  <si>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</si>
  <si>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</si>
  <si>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</si>
  <si>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</si>
  <si>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</si>
  <si>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</si>
  <si>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</si>
  <si>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</si>
  <si>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</si>
  <si>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</si>
  <si>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</si>
  <si>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</si>
  <si>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</si>
  <si>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</si>
  <si>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</si>
  <si>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</si>
  <si>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</si>
  <si>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</si>
  <si>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</si>
  <si>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</si>
  <si>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</si>
  <si>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</si>
  <si>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</si>
  <si>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</si>
  <si>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</si>
  <si>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</si>
  <si>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</si>
  <si>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</si>
  <si>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</si>
  <si>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</si>
  <si>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</si>
  <si>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</si>
  <si>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</si>
  <si>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</si>
  <si>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</si>
  <si>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</si>
  <si>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</si>
  <si>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</si>
  <si>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</si>
  <si>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</si>
  <si>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</si>
  <si>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</si>
  <si>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</si>
  <si>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</si>
  <si>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</si>
  <si>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</si>
  <si>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</si>
  <si>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</si>
  <si>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</si>
  <si>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</si>
  <si>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</si>
  <si>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</si>
  <si>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</si>
  <si>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</si>
  <si>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</si>
  <si>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</si>
  <si>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</si>
  <si>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</si>
  <si>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</si>
  <si>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</si>
  <si>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</si>
  <si>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</si>
  <si>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</si>
  <si>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</si>
  <si>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</si>
  <si>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</si>
  <si>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</si>
  <si>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</si>
  <si>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</si>
  <si>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</si>
  <si>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</si>
  <si>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</si>
  <si>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</si>
  <si>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</si>
  <si>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</si>
  <si>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</si>
  <si>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</si>
  <si>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</si>
  <si>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</si>
  <si>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</si>
  <si>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</si>
  <si>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</si>
  <si>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</si>
  <si>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</si>
  <si>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</si>
  <si>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</si>
  <si>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</si>
  <si>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</si>
  <si>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</si>
  <si>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</si>
  <si>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</si>
  <si>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</si>
  <si>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</si>
  <si>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</si>
  <si>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</si>
  <si>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</si>
  <si>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</si>
  <si>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</si>
  <si>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</si>
  <si>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</si>
  <si>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</si>
  <si>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</si>
  <si>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</si>
  <si>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</si>
  <si>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</si>
  <si>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</si>
  <si>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</si>
  <si>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</si>
  <si>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</si>
  <si>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</si>
  <si>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</si>
  <si>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</si>
  <si>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</si>
  <si>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</si>
  <si>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</si>
  <si>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</si>
  <si>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</si>
  <si>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</si>
  <si>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</si>
  <si>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</si>
  <si>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</si>
  <si>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</si>
  <si>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</si>
  <si>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</si>
  <si>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</si>
  <si>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</si>
  <si>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</si>
  <si>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</si>
  <si>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</si>
  <si>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</si>
  <si>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</si>
  <si>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</si>
  <si>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</si>
  <si>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</si>
  <si>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</si>
  <si>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</si>
  <si>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</si>
  <si>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</si>
  <si>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</si>
  <si>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</si>
  <si>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</si>
  <si>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</si>
  <si>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</si>
  <si>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</si>
  <si>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</si>
  <si>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</si>
  <si>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</si>
  <si>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</si>
  <si>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</si>
  <si>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</si>
  <si>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</si>
  <si>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</si>
  <si>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</si>
  <si>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</si>
  <si>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</si>
  <si>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</si>
  <si>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</si>
  <si>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</si>
  <si>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</si>
  <si>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</si>
  <si>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</si>
  <si>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</si>
  <si>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</si>
  <si>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</si>
  <si>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</si>
  <si>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</si>
  <si>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</si>
  <si>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</si>
  <si>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</si>
  <si>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</si>
  <si>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</si>
  <si>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</si>
  <si>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</si>
  <si>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</si>
  <si>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</si>
  <si>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</si>
  <si>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</si>
  <si>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</si>
  <si>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</si>
  <si>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</si>
  <si>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</si>
  <si>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</si>
  <si>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</si>
  <si>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</si>
  <si>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</si>
  <si>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</si>
  <si>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</si>
  <si>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</si>
  <si>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</si>
  <si>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</si>
  <si>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</si>
  <si>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</si>
  <si>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</si>
  <si>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</si>
  <si>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</si>
  <si>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</si>
  <si>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</si>
  <si>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</si>
  <si>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</si>
  <si>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</si>
  <si>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</si>
  <si>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</si>
  <si>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</si>
  <si>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</si>
  <si>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</si>
  <si>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</si>
  <si>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</si>
  <si>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</si>
  <si>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</si>
  <si>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</si>
  <si>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</si>
  <si>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</si>
  <si>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</si>
  <si>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</si>
  <si>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</si>
  <si>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</si>
  <si>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</si>
  <si>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</si>
  <si>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</si>
  <si>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</si>
  <si>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</si>
  <si>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</si>
  <si>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</si>
  <si>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</si>
  <si>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</si>
  <si>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</si>
  <si>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</si>
  <si>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</si>
  <si>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</si>
  <si>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</si>
  <si>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</si>
  <si>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</si>
  <si>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</si>
  <si>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</si>
  <si>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</si>
  <si>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</si>
  <si>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</si>
  <si>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</si>
  <si>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</si>
  <si>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</si>
  <si>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</si>
  <si>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</si>
  <si>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</si>
  <si>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</si>
  <si>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</si>
  <si>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</si>
  <si>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</si>
  <si>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</si>
  <si>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</si>
  <si>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</si>
  <si>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</si>
  <si>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</si>
  <si>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</si>
  <si>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</si>
  <si>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</si>
  <si>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</si>
  <si>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</si>
  <si>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</si>
  <si>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</si>
  <si>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</si>
  <si>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</si>
  <si>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</si>
  <si>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</si>
  <si>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</si>
  <si>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</si>
  <si>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</si>
  <si>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</si>
  <si>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</si>
  <si>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</si>
  <si>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</si>
  <si>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</si>
  <si>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</si>
  <si>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</si>
  <si>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</si>
  <si>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</si>
  <si>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</si>
  <si>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</si>
  <si>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</si>
  <si>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</si>
  <si>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</si>
  <si>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</si>
  <si>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</si>
  <si>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</si>
  <si>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</si>
  <si>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</si>
  <si>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</si>
  <si>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</si>
  <si>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</si>
  <si>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</si>
  <si>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</si>
  <si>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</si>
  <si>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</si>
  <si>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</si>
  <si>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</si>
  <si>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</si>
  <si>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</si>
  <si>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</si>
  <si>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</si>
  <si>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</si>
  <si>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</si>
  <si>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</si>
  <si>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</si>
  <si>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</si>
  <si>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</si>
  <si>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</si>
  <si>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</si>
  <si>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</si>
  <si>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</si>
  <si>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</si>
  <si>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</si>
  <si>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</si>
  <si>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</si>
  <si>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</si>
  <si>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</si>
  <si>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</si>
  <si>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</si>
  <si>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</si>
  <si>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</si>
  <si>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</si>
  <si>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</si>
  <si>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</si>
  <si>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</si>
  <si>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</si>
  <si>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</si>
  <si>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</si>
  <si>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</si>
  <si>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</si>
  <si>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</si>
  <si>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</si>
  <si>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</si>
  <si>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</si>
  <si>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</si>
  <si>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</si>
  <si>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</si>
  <si>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</si>
  <si>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</si>
  <si>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</si>
  <si>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</si>
  <si>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</si>
  <si>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</si>
  <si>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</si>
  <si>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</si>
  <si>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</si>
  <si>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</si>
  <si>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</si>
  <si>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</si>
  <si>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</si>
  <si>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</si>
  <si>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</si>
  <si>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</si>
  <si>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</si>
  <si>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</si>
  <si>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</si>
  <si>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</si>
  <si>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</si>
  <si>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</si>
  <si>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</si>
  <si>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</si>
  <si>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</si>
  <si>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</si>
  <si>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</si>
  <si>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</si>
  <si>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</si>
  <si>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</si>
  <si>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</si>
  <si>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</si>
  <si>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</si>
  <si>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</si>
  <si>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</si>
  <si>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</si>
  <si>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</si>
  <si>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</si>
  <si>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</si>
  <si>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</si>
  <si>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</si>
  <si>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</si>
  <si>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</si>
  <si>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</si>
  <si>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</si>
  <si>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</si>
  <si>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</si>
  <si>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</si>
  <si>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</si>
  <si>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</si>
  <si>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</si>
  <si>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</si>
  <si>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</si>
  <si>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</si>
  <si>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</si>
  <si>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</si>
  <si>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</si>
  <si>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</si>
  <si>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</si>
  <si>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</si>
  <si>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</si>
  <si>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</si>
  <si>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</si>
  <si>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</si>
  <si>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</si>
  <si>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</si>
  <si>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</si>
  <si>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</si>
  <si>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</si>
  <si>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</si>
  <si>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</si>
  <si>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</si>
  <si>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</si>
  <si>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</si>
  <si>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</si>
  <si>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</si>
  <si>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</si>
  <si>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</si>
  <si>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</si>
  <si>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</si>
  <si>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</si>
  <si>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</si>
  <si>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</si>
  <si>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</si>
  <si>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</si>
  <si>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</si>
  <si>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</si>
  <si>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</si>
  <si>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</si>
  <si>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</si>
  <si>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</si>
  <si>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</si>
  <si>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</si>
  <si>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</si>
  <si>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</si>
  <si>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</si>
  <si>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</si>
  <si>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</si>
  <si>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</si>
  <si>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</si>
  <si>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</si>
  <si>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</si>
  <si>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</si>
  <si>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</si>
  <si>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</si>
  <si>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</si>
  <si>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</si>
  <si>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</si>
  <si>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</si>
  <si>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</si>
  <si>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</si>
  <si>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</si>
  <si>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</si>
  <si>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</si>
  <si>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</si>
  <si>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</si>
  <si>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</si>
  <si>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</si>
  <si>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</si>
  <si>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</si>
  <si>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</si>
  <si>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</si>
  <si>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</si>
  <si>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</si>
  <si>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</si>
  <si>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</si>
  <si>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</si>
  <si>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</si>
  <si>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</si>
  <si>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</si>
  <si>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</si>
  <si>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</si>
  <si>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</si>
  <si>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</si>
  <si>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</si>
  <si>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</si>
  <si>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</si>
  <si>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</si>
  <si>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</si>
  <si>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</si>
  <si>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</si>
  <si>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</si>
  <si>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</si>
  <si>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</si>
  <si>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</si>
  <si>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</si>
  <si>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</si>
  <si>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</si>
  <si>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</si>
  <si>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</si>
  <si>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</si>
  <si>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</si>
  <si>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</si>
  <si>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</si>
  <si>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</si>
  <si>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</si>
  <si>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</si>
  <si>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</si>
  <si>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</si>
  <si>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</si>
  <si>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</si>
  <si>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</si>
  <si>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</si>
  <si>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</si>
  <si>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</si>
  <si>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</si>
  <si>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</si>
  <si>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</si>
  <si>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</si>
  <si>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</si>
  <si>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</si>
  <si>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</si>
  <si>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</si>
  <si>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</si>
  <si>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</si>
  <si>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</si>
  <si>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</si>
  <si>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</si>
  <si>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</si>
  <si>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</si>
  <si>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</si>
  <si>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</si>
  <si>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</si>
  <si>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</si>
  <si>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</si>
  <si>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</si>
  <si>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</si>
  <si>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</si>
  <si>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</si>
  <si>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</si>
  <si>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</si>
  <si>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</si>
  <si>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</si>
  <si>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</si>
  <si>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</si>
  <si>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</si>
  <si>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</si>
  <si>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</si>
  <si>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</si>
  <si>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</si>
  <si>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</si>
  <si>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</si>
  <si>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</si>
  <si>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</si>
  <si>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</si>
  <si>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</si>
  <si>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</si>
  <si>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</si>
  <si>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</si>
  <si>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</si>
  <si>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</si>
  <si>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</si>
  <si>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</si>
  <si>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</si>
  <si>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</si>
  <si>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</si>
  <si>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</si>
  <si>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</si>
  <si>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</si>
  <si>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</si>
  <si>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</si>
  <si>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</si>
  <si>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</si>
  <si>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</si>
  <si>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</si>
  <si>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</si>
  <si>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</si>
  <si>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</si>
  <si>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</si>
  <si>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</si>
  <si>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</si>
  <si>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</si>
  <si>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</si>
  <si>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</si>
  <si>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</si>
  <si>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</si>
  <si>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</si>
  <si>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</si>
  <si>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</si>
  <si>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</si>
  <si>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</si>
  <si>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</si>
  <si>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</si>
  <si>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</si>
  <si>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</si>
  <si>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</si>
  <si>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</si>
  <si>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</si>
  <si>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</si>
  <si>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</si>
  <si>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</si>
  <si>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</si>
  <si>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</si>
  <si>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</si>
  <si>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</si>
  <si>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</si>
  <si>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</si>
  <si>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</si>
  <si>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</si>
  <si>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</si>
  <si>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</si>
  <si>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</si>
  <si>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</si>
  <si>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</si>
  <si>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</si>
  <si>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</si>
  <si>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</si>
  <si>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</si>
  <si>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</si>
  <si>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</si>
  <si>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</si>
  <si>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</si>
  <si>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</si>
  <si>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</si>
  <si>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</si>
  <si>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</si>
  <si>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</si>
  <si>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</si>
  <si>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</si>
  <si>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</si>
  <si>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</si>
  <si>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</si>
  <si>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</si>
  <si>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</si>
  <si>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</si>
  <si>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</si>
  <si>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</si>
  <si>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</si>
  <si>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</si>
  <si>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</si>
  <si>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</si>
  <si>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</si>
  <si>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</si>
  <si>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</si>
  <si>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</si>
  <si>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</si>
  <si>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</si>
  <si>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</si>
  <si>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</si>
  <si>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</si>
  <si>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</si>
  <si>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</si>
  <si>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</si>
  <si>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</si>
  <si>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</si>
  <si>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</si>
  <si>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</si>
  <si>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</si>
  <si>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</si>
  <si>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</si>
  <si>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</si>
  <si>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</si>
  <si>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</si>
  <si>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</si>
  <si>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</si>
  <si>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</si>
  <si>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</si>
  <si>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</si>
  <si>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</si>
  <si>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</si>
  <si>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</si>
  <si>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</si>
  <si>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</si>
  <si>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</si>
  <si>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</si>
  <si>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</si>
  <si>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</si>
  <si>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</si>
  <si>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</si>
  <si>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</si>
  <si>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</si>
  <si>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</si>
  <si>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</si>
  <si>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</si>
  <si>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</si>
  <si>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</si>
  <si>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</si>
  <si>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</si>
  <si>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</si>
  <si>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</si>
  <si>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</si>
  <si>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</si>
  <si>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</si>
  <si>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</si>
  <si>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</si>
  <si>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</si>
  <si>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</si>
  <si>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</si>
  <si>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</si>
  <si>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</si>
  <si>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</si>
  <si>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</si>
  <si>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</si>
  <si>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</si>
  <si>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</si>
  <si>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</si>
  <si>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</si>
  <si>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</si>
  <si>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</si>
  <si>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</si>
  <si>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</si>
  <si>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</si>
  <si>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</si>
  <si>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</si>
  <si>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</si>
  <si>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</si>
  <si>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</si>
  <si>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</si>
  <si>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</si>
  <si>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</si>
  <si>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</si>
  <si>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</si>
  <si>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</si>
  <si>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</si>
  <si>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</si>
  <si>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</si>
  <si>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</si>
  <si>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</si>
  <si>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</si>
  <si>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</si>
  <si>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</si>
  <si>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</si>
  <si>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</si>
  <si>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</si>
  <si>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</si>
  <si>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</si>
  <si>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</si>
  <si>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</si>
  <si>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</si>
  <si>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</si>
  <si>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</si>
  <si>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</si>
  <si>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</si>
  <si>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</si>
  <si>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</si>
  <si>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</si>
  <si>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</si>
  <si>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</si>
  <si>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</si>
  <si>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</si>
  <si>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</si>
  <si>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</si>
  <si>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</si>
  <si>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</si>
  <si>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</si>
  <si>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</si>
  <si>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</si>
  <si>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</si>
  <si>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</si>
  <si>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</si>
  <si>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</si>
  <si>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</si>
  <si>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</si>
  <si>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</si>
  <si>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</si>
  <si>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</si>
  <si>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</si>
  <si>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</si>
  <si>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</si>
  <si>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</si>
  <si>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</si>
  <si>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</si>
  <si>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</si>
  <si>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</si>
  <si>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</si>
  <si>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</si>
  <si>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</si>
  <si>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</si>
  <si>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</si>
  <si>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</si>
  <si>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</si>
  <si>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</si>
  <si>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</si>
  <si>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</si>
  <si>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</si>
  <si>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</si>
  <si>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</si>
  <si>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</si>
  <si>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</si>
  <si>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</si>
  <si>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</si>
  <si>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</si>
  <si>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</si>
  <si>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</si>
  <si>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</si>
  <si>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</si>
  <si>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</si>
  <si>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</si>
  <si>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</si>
  <si>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</si>
  <si>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</si>
  <si>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</si>
  <si>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</si>
  <si>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</si>
  <si>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</si>
  <si>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</si>
  <si>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</si>
  <si>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</si>
  <si>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</si>
  <si>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</si>
  <si>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</si>
  <si>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</si>
  <si>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</si>
  <si>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</si>
  <si>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</si>
  <si>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</si>
  <si>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</si>
  <si>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</si>
  <si>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</si>
  <si>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</si>
  <si>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</si>
  <si>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</si>
  <si>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</si>
  <si>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</si>
  <si>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</si>
  <si>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</si>
  <si>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</si>
  <si>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</si>
  <si>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</si>
  <si>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</si>
  <si>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</si>
  <si>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</si>
  <si>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</si>
  <si>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</si>
  <si>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</si>
  <si>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</si>
  <si>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</si>
  <si>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</si>
  <si>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</si>
  <si>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</si>
  <si>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</si>
  <si>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</si>
  <si>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</si>
  <si>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</si>
  <si>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</si>
  <si>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</si>
  <si>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</si>
  <si>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</si>
  <si>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</si>
  <si>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</si>
  <si>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</si>
  <si>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</si>
  <si>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</si>
  <si>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</si>
  <si>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</si>
  <si>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</si>
  <si>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</si>
  <si>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</si>
  <si>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</si>
  <si>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</si>
  <si>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</si>
  <si>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</si>
  <si>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</si>
  <si>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</si>
  <si>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</si>
  <si>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</si>
  <si>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</si>
  <si>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</si>
  <si>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</si>
  <si>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</si>
  <si>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</si>
  <si>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</si>
  <si>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</si>
  <si>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</si>
  <si>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</si>
  <si>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</si>
  <si>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</si>
  <si>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</si>
  <si>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</si>
  <si>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</si>
  <si>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</si>
  <si>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</si>
  <si>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</si>
  <si>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</si>
  <si>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</si>
  <si>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</si>
  <si>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</si>
  <si>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</si>
  <si>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</si>
  <si>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</si>
  <si>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</si>
  <si>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</si>
  <si>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</si>
  <si>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</si>
  <si>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</si>
  <si>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</si>
  <si>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</si>
  <si>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</si>
  <si>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</si>
  <si>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</si>
  <si>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</si>
  <si>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</si>
  <si>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</si>
  <si>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</si>
  <si>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</si>
  <si>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</si>
  <si>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</si>
  <si>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</si>
  <si>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</si>
  <si>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</si>
  <si>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</si>
  <si>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</si>
  <si>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</si>
  <si>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</si>
  <si>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</si>
  <si>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</si>
  <si>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</si>
  <si>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</si>
  <si>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</si>
  <si>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</si>
  <si>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</si>
  <si>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</si>
  <si>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</si>
  <si>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</si>
  <si>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</si>
  <si>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</si>
  <si>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</si>
  <si>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</si>
  <si>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</si>
  <si>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</si>
  <si>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</si>
  <si>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</si>
  <si>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</si>
  <si>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</si>
  <si>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</si>
  <si>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</si>
  <si>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</si>
  <si>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</si>
  <si>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</si>
  <si>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</si>
  <si>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</si>
  <si>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</si>
  <si>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</si>
  <si>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</si>
  <si>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</si>
  <si>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</si>
  <si>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</si>
  <si>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</si>
  <si>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</si>
  <si>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</si>
  <si>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</si>
  <si>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</si>
  <si>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</si>
  <si>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</si>
  <si>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</si>
  <si>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</si>
  <si>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</si>
  <si>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</si>
  <si>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</si>
  <si>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</si>
  <si>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</si>
  <si>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</si>
  <si>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</si>
  <si>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</si>
  <si>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</si>
  <si>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</si>
  <si>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</si>
  <si>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</si>
  <si>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</si>
  <si>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</si>
  <si>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</si>
  <si>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</si>
  <si>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</si>
  <si>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</si>
  <si>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</si>
  <si>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</si>
  <si>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</si>
  <si>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</si>
  <si>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</si>
  <si>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</si>
  <si>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</si>
  <si>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</si>
  <si>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</si>
  <si>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</si>
  <si>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</si>
  <si>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</si>
  <si>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</si>
  <si>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</si>
  <si>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</si>
  <si>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</si>
  <si>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</si>
  <si>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</si>
  <si>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</si>
  <si>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</si>
  <si>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</si>
  <si>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</si>
  <si>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</si>
  <si>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</si>
  <si>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</si>
  <si>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</si>
  <si>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</si>
  <si>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</si>
  <si>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</si>
  <si>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</si>
  <si>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</si>
  <si>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</si>
  <si>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</si>
  <si>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</si>
  <si>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</si>
  <si>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</si>
  <si>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</si>
  <si>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</si>
  <si>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</si>
  <si>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</si>
  <si>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</si>
  <si>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</si>
  <si>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</si>
  <si>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</si>
  <si>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</si>
  <si>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</si>
  <si>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</si>
  <si>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</si>
  <si>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</si>
  <si>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</si>
  <si>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</si>
  <si>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</si>
  <si>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</si>
  <si>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</si>
  <si>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</si>
  <si>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</si>
  <si>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</si>
  <si>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</si>
  <si>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</si>
  <si>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</si>
  <si>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</si>
  <si>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</si>
  <si>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</si>
  <si>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</si>
  <si>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</si>
  <si>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</si>
  <si>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</si>
  <si>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</si>
  <si>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</si>
  <si>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</si>
  <si>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</si>
  <si>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</si>
  <si>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</si>
  <si>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</si>
  <si>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</si>
  <si>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</si>
  <si>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</si>
  <si>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</si>
  <si>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</si>
  <si>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</si>
  <si>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</si>
  <si>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</si>
  <si>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</si>
  <si>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</si>
  <si>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</si>
  <si>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</si>
  <si>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</si>
  <si>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</si>
  <si>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</si>
  <si>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</si>
  <si>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</si>
  <si>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</si>
  <si>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</si>
  <si>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</si>
  <si>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</si>
  <si>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</si>
  <si>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</si>
  <si>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</si>
  <si>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</si>
  <si>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</si>
  <si>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</si>
  <si>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</si>
  <si>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</si>
  <si>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</si>
  <si>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</si>
  <si>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</si>
  <si>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</si>
  <si>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</si>
  <si>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</si>
  <si>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</si>
  <si>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</si>
  <si>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</si>
  <si>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</si>
  <si>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</si>
  <si>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</si>
  <si>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</si>
  <si>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</si>
  <si>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</si>
  <si>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</si>
  <si>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</si>
  <si>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</si>
  <si>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</si>
  <si>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</si>
  <si>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</si>
  <si>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</si>
  <si>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</si>
  <si>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</si>
  <si>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</si>
  <si>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</si>
  <si>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</si>
  <si>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</si>
  <si>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</si>
  <si>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</si>
  <si>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</si>
  <si>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</si>
  <si>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</si>
  <si>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</si>
  <si>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</si>
  <si>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</si>
  <si>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</si>
  <si>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</si>
  <si>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</si>
  <si>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</si>
  <si>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</si>
  <si>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</si>
  <si>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</si>
  <si>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</si>
  <si>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</si>
  <si>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</si>
  <si>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</si>
  <si>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</si>
  <si>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</si>
  <si>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</si>
  <si>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</si>
  <si>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</si>
  <si>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</si>
  <si>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</si>
  <si>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</si>
  <si>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</si>
  <si>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</si>
  <si>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</si>
  <si>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</si>
  <si>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</si>
  <si>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</si>
  <si>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</si>
  <si>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</si>
  <si>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</si>
  <si>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</si>
  <si>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</si>
  <si>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</si>
  <si>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</si>
  <si>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</si>
  <si>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</si>
  <si>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</si>
  <si>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</si>
  <si>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</si>
  <si>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</si>
  <si>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</si>
  <si>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</si>
  <si>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</si>
  <si>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</si>
  <si>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</si>
  <si>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</si>
  <si>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</si>
  <si>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</si>
  <si>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</si>
  <si>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</si>
  <si>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</si>
  <si>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</si>
  <si>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</si>
  <si>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</si>
  <si>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</si>
  <si>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</si>
  <si>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</si>
  <si>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</si>
  <si>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</si>
  <si>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</si>
  <si>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</si>
  <si>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</si>
  <si>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</si>
  <si>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</si>
  <si>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</si>
  <si>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</si>
  <si>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</si>
  <si>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</si>
  <si>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</si>
  <si>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</si>
  <si>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</si>
  <si>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</si>
  <si>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</si>
  <si>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</si>
  <si>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</si>
  <si>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</si>
  <si>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</si>
  <si>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</si>
  <si>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</si>
  <si>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</si>
  <si>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</si>
  <si>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</si>
  <si>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</si>
  <si>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</si>
  <si>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</si>
  <si>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</si>
  <si>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</si>
  <si>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</si>
  <si>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</si>
  <si>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</si>
  <si>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</si>
  <si>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</si>
  <si>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</si>
  <si>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</si>
  <si>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</si>
  <si>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</si>
  <si>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</si>
  <si>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</si>
  <si>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</si>
  <si>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</si>
  <si>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</si>
  <si>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</si>
  <si>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</si>
  <si>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</si>
  <si>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</si>
  <si>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</si>
  <si>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</si>
  <si>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</si>
  <si>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</si>
  <si>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</si>
  <si>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</si>
  <si>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</si>
  <si>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</si>
  <si>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</si>
  <si>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</si>
  <si>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</si>
  <si>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</si>
  <si>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</si>
  <si>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</si>
  <si>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</si>
  <si>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</si>
  <si>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</si>
  <si>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</si>
  <si>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</si>
  <si>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</si>
  <si>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</si>
  <si>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</si>
  <si>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</si>
  <si>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</si>
  <si>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</si>
  <si>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</si>
  <si>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</si>
  <si>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</si>
  <si>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</si>
  <si>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</si>
  <si>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</si>
  <si>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</si>
  <si>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</si>
  <si>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</si>
  <si>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</si>
  <si>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</si>
  <si>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</si>
  <si>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</si>
  <si>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</si>
  <si>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</si>
  <si>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</si>
  <si>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</si>
  <si>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</si>
  <si>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</si>
  <si>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</si>
  <si>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</si>
  <si>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</si>
  <si>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</si>
  <si>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</si>
  <si>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</si>
  <si>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</si>
  <si>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</si>
  <si>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</si>
  <si>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</si>
  <si>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</si>
  <si>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</si>
  <si>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</si>
  <si>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</si>
  <si>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</si>
  <si>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</si>
  <si>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</si>
  <si>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</si>
  <si>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</si>
  <si>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</si>
  <si>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</si>
  <si>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</si>
  <si>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</si>
  <si>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</si>
  <si>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</si>
  <si>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</si>
  <si>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</si>
  <si>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</si>
  <si>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</si>
  <si>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</si>
  <si>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</si>
  <si>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</si>
  <si>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</si>
  <si>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</si>
  <si>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</si>
  <si>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</si>
  <si>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</si>
  <si>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</si>
  <si>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</si>
  <si>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</si>
  <si>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</si>
  <si>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</si>
  <si>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</si>
  <si>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</si>
  <si>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</si>
  <si>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</si>
  <si>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</si>
  <si>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</si>
  <si>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</si>
  <si>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</si>
  <si>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</si>
  <si>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</si>
  <si>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</si>
  <si>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</si>
  <si>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</si>
  <si>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</si>
  <si>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</si>
  <si>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</si>
  <si>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</si>
  <si>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</si>
  <si>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</si>
  <si>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</si>
  <si>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</si>
  <si>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</si>
  <si>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</si>
  <si>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</si>
  <si>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</si>
  <si>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</si>
  <si>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</si>
  <si>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</si>
  <si>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</si>
  <si>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</si>
  <si>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</si>
  <si>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</si>
  <si>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</si>
  <si>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</si>
  <si>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</si>
  <si>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</si>
  <si>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</si>
  <si>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</si>
  <si>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</si>
  <si>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</si>
  <si>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</si>
  <si>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</si>
  <si>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</si>
  <si>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</si>
  <si>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</si>
  <si>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</si>
  <si>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</si>
  <si>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</si>
  <si>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</si>
  <si>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</si>
  <si>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</si>
  <si>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</si>
  <si>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</si>
  <si>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</si>
  <si>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</si>
  <si>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</si>
  <si>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</si>
  <si>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</si>
  <si>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</si>
  <si>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</si>
  <si>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</si>
  <si>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</si>
  <si>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</si>
  <si>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</si>
  <si>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</si>
  <si>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</si>
  <si>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</si>
  <si>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</si>
  <si>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</si>
  <si>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</si>
  <si>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</si>
  <si>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</si>
  <si>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</si>
  <si>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</si>
  <si>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</si>
  <si>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</si>
  <si>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</si>
  <si>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</si>
  <si>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</si>
  <si>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</si>
  <si>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</si>
  <si>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</si>
  <si>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</si>
  <si>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</si>
  <si>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</si>
  <si>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</si>
  <si>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</si>
  <si>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</si>
  <si>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</si>
  <si>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</si>
  <si>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</si>
  <si>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</si>
  <si>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</si>
  <si>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</si>
  <si>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</si>
  <si>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</si>
  <si>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</si>
  <si>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</si>
  <si>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</si>
  <si>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</si>
  <si>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</si>
  <si>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</si>
  <si>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</si>
  <si>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</si>
  <si>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</si>
  <si>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</si>
  <si>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</si>
  <si>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</si>
  <si>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</si>
  <si>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</si>
  <si>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</si>
  <si>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</si>
  <si>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</si>
  <si>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</si>
  <si>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</si>
  <si>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</si>
  <si>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</si>
  <si>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</si>
  <si>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</si>
  <si>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</si>
  <si>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</si>
  <si>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</si>
  <si>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</si>
  <si>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</si>
  <si>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</si>
  <si>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</si>
  <si>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</si>
  <si>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</si>
  <si>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</si>
  <si>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</si>
  <si>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</si>
  <si>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</si>
  <si>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</si>
  <si>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</si>
  <si>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</si>
  <si>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</si>
  <si>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</si>
  <si>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</si>
  <si>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</si>
  <si>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</si>
  <si>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</si>
  <si>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</si>
  <si>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</si>
  <si>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</si>
  <si>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</si>
  <si>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</si>
  <si>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</si>
  <si>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</si>
  <si>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</si>
  <si>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</si>
  <si>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</si>
  <si>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</si>
  <si>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</si>
  <si>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</si>
  <si>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</si>
  <si>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</si>
  <si>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</si>
  <si>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</si>
  <si>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</si>
  <si>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</si>
  <si>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</si>
  <si>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</si>
  <si>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</si>
  <si>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</si>
  <si>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</si>
  <si>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</si>
  <si>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</si>
  <si>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</si>
  <si>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</si>
  <si>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</si>
  <si>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</si>
  <si>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</si>
  <si>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</si>
  <si>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</si>
  <si>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</si>
  <si>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</si>
  <si>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</si>
  <si>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</si>
  <si>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</si>
  <si>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</si>
  <si>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</si>
  <si>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</si>
  <si>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</si>
  <si>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</si>
  <si>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</si>
  <si>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</si>
  <si>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</si>
  <si>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</si>
  <si>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</si>
  <si>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</si>
  <si>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</si>
  <si>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</si>
  <si>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</si>
  <si>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</si>
  <si>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</si>
  <si>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</si>
  <si>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</si>
  <si>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</si>
  <si>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</si>
  <si>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</si>
  <si>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</si>
  <si>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</si>
  <si>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</si>
  <si>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</si>
  <si>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</si>
  <si>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</si>
  <si>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</si>
  <si>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</si>
  <si>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</si>
  <si>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</si>
  <si>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</si>
  <si>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</si>
  <si>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</si>
  <si>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</si>
  <si>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</si>
  <si>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</si>
  <si>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</si>
  <si>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</si>
  <si>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</si>
  <si>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</si>
  <si>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</si>
  <si>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</si>
  <si>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</si>
  <si>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</si>
  <si>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</si>
  <si>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</si>
  <si>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</si>
  <si>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</si>
  <si>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</si>
  <si>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</si>
  <si>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</si>
  <si>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</si>
  <si>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</si>
  <si>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</si>
  <si>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</si>
  <si>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</si>
  <si>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</si>
  <si>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</si>
  <si>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</si>
  <si>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</si>
  <si>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</si>
  <si>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</si>
  <si>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</si>
  <si>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</si>
  <si>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</si>
  <si>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</si>
  <si>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</si>
  <si>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</si>
  <si>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</si>
  <si>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</si>
  <si>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</si>
  <si>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</si>
  <si>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</si>
  <si>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</si>
  <si>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</si>
  <si>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</si>
  <si>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</si>
  <si>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</si>
  <si>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</si>
  <si>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</si>
  <si>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</si>
  <si>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</si>
  <si>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</si>
  <si>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</si>
  <si>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</si>
  <si>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</si>
  <si>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</si>
  <si>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</si>
  <si>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</si>
  <si>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</si>
  <si>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</si>
  <si>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</si>
  <si>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</si>
  <si>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</si>
  <si>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</si>
  <si>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</si>
  <si>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</si>
  <si>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</si>
  <si>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</si>
  <si>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</si>
  <si>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</si>
  <si>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</si>
  <si>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</si>
  <si>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</si>
  <si>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</si>
  <si>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</si>
  <si>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</si>
  <si>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</si>
  <si>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</si>
  <si>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</si>
  <si>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</si>
  <si>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</si>
  <si>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Values for display</t>
  </si>
  <si>
    <t>QTY</t>
  </si>
  <si>
    <t>Avg Rating</t>
  </si>
  <si>
    <t>Average of Days to Deliver</t>
  </si>
  <si>
    <t>Avg Days</t>
  </si>
  <si>
    <t>Row Labels</t>
  </si>
  <si>
    <t>Grand Total</t>
  </si>
  <si>
    <t>Column Labels</t>
  </si>
  <si>
    <t>Female</t>
  </si>
  <si>
    <t>Male</t>
  </si>
  <si>
    <t>Other</t>
  </si>
  <si>
    <t>Unknown</t>
  </si>
  <si>
    <t>6-10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</si>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</sst>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quot;k&quot;"/>
    <numFmt numFmtId="165" formatCode="_ * #,##0_ ;_ * \-#,##0_ ;_ * &quot;-&quot;??_ ;_ @_ "/>
    <numFmt numFmtId="166" formatCode="0.0"/>
    <numFmt numFmtId="167" formatCode="[$$-409]#,##0"/>
    <numFmt numFmtId="168" formatCode="0.0%"/>
    <numFmt numFmtId="169" formatCode="_-[$$-409]* #,##0.00_ ;_-[$$-409]* \-#,##0.00\ ;_-[$$-409]* &quot;-&quot;??_ ;_-@_ "/>
    <numFmt numFmtId="171" formatCode="_-[$$-409]* #,##0.0_ ;_-[$$-409]* \-#,##0.0\ ;_-[$$-409]* &quot;-&quot;??_ ;_-@_ "/>
    <numFmt numFmtId="181" formatCode="00.0,&quot;k&quot;"/>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0"/>
        <bgColor indexed="64"/>
      </patternFill>
    </fill>
  </fills>
  <borders count="10">
    <border>
      <left/>
      <right/>
      <top/>
      <bottom/>
      <diagonal/>
    </border>
    <border>
      <left/>
      <right/>
      <top/>
      <bottom style="thin">
        <color theme="4" tint="0.39997558519241921"/>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1">
    <xf numFmtId="0" fontId="0" fillId="0" borderId="0"/>
  </cellStyleXfs>
  <cellXfs count="28">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1" fillId="3" borderId="1" xfId="0" applyFont="1" applyFill="1" applyBorder="1"/>
    <xf numFmtId="10" fontId="0" fillId="0" borderId="0" xfId="0" applyNumberFormat="1"/>
    <xf numFmtId="168" fontId="0" fillId="4" borderId="0" xfId="0" applyNumberFormat="1" applyFill="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168" fontId="0" fillId="4" borderId="6" xfId="0" applyNumberFormat="1" applyFill="1" applyBorder="1"/>
    <xf numFmtId="0" fontId="0" fillId="4" borderId="7" xfId="0" applyFill="1" applyBorder="1"/>
    <xf numFmtId="168" fontId="0" fillId="4" borderId="8" xfId="0" applyNumberFormat="1" applyFill="1" applyBorder="1"/>
    <xf numFmtId="168" fontId="0" fillId="4" borderId="9" xfId="0" applyNumberFormat="1" applyFill="1" applyBorder="1"/>
    <xf numFmtId="0" fontId="1" fillId="0" borderId="0" xfId="0" applyFont="1"/>
    <xf numFmtId="0" fontId="1" fillId="0" borderId="1" xfId="0" applyFont="1" applyBorder="1"/>
    <xf numFmtId="169" fontId="0" fillId="0" borderId="0" xfId="0" applyNumberFormat="1"/>
    <xf numFmtId="0" fontId="0" fillId="0" borderId="0" xfId="0" applyNumberFormat="1"/>
    <xf numFmtId="171" fontId="0" fillId="0" borderId="0" xfId="0" applyNumberFormat="1"/>
    <xf numFmtId="181" fontId="0" fillId="0" borderId="0" xfId="0" applyNumberFormat="1"/>
  </cellXfs>
  <cellStyles count="1">
    <cellStyle name="Normal" xfId="0" builtinId="0"/>
  </cellStyles>
  <dxfs count="25">
    <dxf>
      <numFmt numFmtId="166" formatCode="0.0"/>
    </dxf>
    <dxf>
      <numFmt numFmtId="0" formatCode="General"/>
    </dxf>
    <dxf>
      <numFmt numFmtId="0" formatCode="General"/>
    </dxf>
    <dxf>
      <numFmt numFmtId="166" formatCode="0.0"/>
    </dxf>
    <dxf>
      <numFmt numFmtId="171" formatCode="_-[$$-409]* #,##0.0_ ;_-[$$-409]* \-#,##0.0\ ;_-[$$-409]* &quot;-&quot;??_ ;_-@_ "/>
    </dxf>
    <dxf>
      <numFmt numFmtId="171" formatCode="_-[$$-409]* #,##0.0_ ;_-[$$-409]* \-#,##0.0\ ;_-[$$-409]* &quot;-&quot;??_ ;_-@_ "/>
    </dxf>
    <dxf>
      <numFmt numFmtId="164" formatCode="\$0.0,&quot;k&quot;"/>
    </dxf>
    <dxf>
      <numFmt numFmtId="171" formatCode="_-[$$-409]* #,##0.0_ ;_-[$$-409]* \-#,##0.0\ ;_-[$$-409]* &quot;-&quot;??_ ;_-@_ "/>
    </dxf>
    <dxf>
      <numFmt numFmtId="171" formatCode="_-[$$-409]* #,##0.0_ ;_-[$$-409]* \-#,##0.0\ ;_-[$$-409]* &quot;-&quot;??_ ;_-@_ "/>
    </dxf>
    <dxf>
      <numFmt numFmtId="171" formatCode="_-[$$-409]* #,##0.0_ ;_-[$$-409]* \-#,##0.0\ ;_-[$$-409]* &quot;-&quot;??_ ;_-@_ "/>
    </dxf>
    <dxf>
      <numFmt numFmtId="0" formatCode="General"/>
    </dxf>
    <dxf>
      <numFmt numFmtId="0" formatCode="General"/>
    </dxf>
    <dxf>
      <numFmt numFmtId="0" formatCode="General"/>
    </dxf>
    <dxf>
      <numFmt numFmtId="170" formatCode="d\-mmm\-yy"/>
    </dxf>
    <dxf>
      <numFmt numFmtId="170" formatCode="d\-mmm\-yy"/>
    </dxf>
    <dxf>
      <numFmt numFmtId="166" formatCode="0.0"/>
    </dxf>
    <dxf>
      <numFmt numFmtId="166" formatCode="0.0"/>
    </dxf>
    <dxf>
      <numFmt numFmtId="164" formatCode="\$0.0,&quot;k&quot;"/>
    </dxf>
    <dxf>
      <numFmt numFmtId="165" formatCode="_ * #,##0_ ;_ * \-#,##0_ ;_ * &quot;-&quot;??_ ;_ @_ "/>
    </dxf>
    <dxf>
      <numFmt numFmtId="165" formatCode="_ * #,##0_ ;_ * \-#,##0_ ;_ * &quot;-&quot;??_ ;_ @_ "/>
    </dxf>
    <dxf>
      <numFmt numFmtId="169" formatCode="_-[$$-409]* #,##0.00_ ;_-[$$-409]* \-#,##0.00\ ;_-[$$-409]* &quot;-&quot;??_ ;_-@_ "/>
    </dxf>
    <dxf>
      <numFmt numFmtId="169" formatCode="_-[$$-409]* #,##0.00_ ;_-[$$-409]* \-#,##0.00\ ;_-[$$-409]* &quot;-&quot;??_ ;_-@_ "/>
    </dxf>
    <dxf>
      <numFmt numFmtId="167" formatCode="[$$-409]#,##0"/>
    </dxf>
    <dxf>
      <numFmt numFmtId="164" formatCode="\$0.0,&quot;k&quot;"/>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Table!PvtWeeklySales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 13</a:t>
            </a:r>
            <a:r>
              <a:rPr lang="en-IN" b="1" baseline="0"/>
              <a:t> Weeks Trend- Qty &amp; Amt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c:f>
              <c:strCache>
                <c:ptCount val="1"/>
                <c:pt idx="0">
                  <c:v>Sum of Quantity</c:v>
                </c:pt>
              </c:strCache>
            </c:strRef>
          </c:tx>
          <c:spPr>
            <a:ln w="28575" cap="rnd">
              <a:solidFill>
                <a:schemeClr val="accent1"/>
              </a:solidFill>
              <a:round/>
            </a:ln>
            <a:effectLst/>
          </c:spPr>
          <c:marker>
            <c:symbol val="none"/>
          </c:marker>
          <c:cat>
            <c:strRef>
              <c:f>'Pivot Table'!$A$8:$A$21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Table'!$B$8:$B$21</c:f>
              <c:numCache>
                <c:formatCode>_ * #,##0_ ;_ * \-#,##0_ ;_ * "-"??_ ;_ @_ </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2F0-412F-A338-1184B2E9F396}"/>
            </c:ext>
          </c:extLst>
        </c:ser>
        <c:dLbls>
          <c:showLegendKey val="0"/>
          <c:showVal val="0"/>
          <c:showCatName val="0"/>
          <c:showSerName val="0"/>
          <c:showPercent val="0"/>
          <c:showBubbleSize val="0"/>
        </c:dLbls>
        <c:marker val="1"/>
        <c:smooth val="0"/>
        <c:axId val="1176483823"/>
        <c:axId val="1068132847"/>
      </c:lineChart>
      <c:lineChart>
        <c:grouping val="standard"/>
        <c:varyColors val="0"/>
        <c:ser>
          <c:idx val="1"/>
          <c:order val="1"/>
          <c:tx>
            <c:strRef>
              <c:f>'Pivot Table'!$C$7</c:f>
              <c:strCache>
                <c:ptCount val="1"/>
                <c:pt idx="0">
                  <c:v>Sum of Amount</c:v>
                </c:pt>
              </c:strCache>
            </c:strRef>
          </c:tx>
          <c:spPr>
            <a:ln w="28575" cap="rnd">
              <a:solidFill>
                <a:schemeClr val="accent2"/>
              </a:solidFill>
              <a:round/>
            </a:ln>
            <a:effectLst/>
          </c:spPr>
          <c:marker>
            <c:symbol val="none"/>
          </c:marker>
          <c:cat>
            <c:strRef>
              <c:f>'Pivot Table'!$A$8:$A$21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Table'!$C$8:$C$21</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2F0-412F-A338-1184B2E9F396}"/>
            </c:ext>
          </c:extLst>
        </c:ser>
        <c:dLbls>
          <c:showLegendKey val="0"/>
          <c:showVal val="0"/>
          <c:showCatName val="0"/>
          <c:showSerName val="0"/>
          <c:showPercent val="0"/>
          <c:showBubbleSize val="0"/>
        </c:dLbls>
        <c:marker val="1"/>
        <c:smooth val="0"/>
        <c:axId val="1237664783"/>
        <c:axId val="1068122287"/>
      </c:lineChart>
      <c:catAx>
        <c:axId val="117648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32847"/>
        <c:crosses val="autoZero"/>
        <c:auto val="1"/>
        <c:lblAlgn val="ctr"/>
        <c:lblOffset val="100"/>
        <c:noMultiLvlLbl val="0"/>
      </c:catAx>
      <c:valAx>
        <c:axId val="1068132847"/>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83823"/>
        <c:crosses val="autoZero"/>
        <c:crossBetween val="between"/>
      </c:valAx>
      <c:valAx>
        <c:axId val="1068122287"/>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664783"/>
        <c:crosses val="max"/>
        <c:crossBetween val="between"/>
      </c:valAx>
      <c:catAx>
        <c:axId val="1237664783"/>
        <c:scaling>
          <c:orientation val="minMax"/>
        </c:scaling>
        <c:delete val="1"/>
        <c:axPos val="b"/>
        <c:numFmt formatCode="General" sourceLinked="1"/>
        <c:majorTickMark val="out"/>
        <c:minorTickMark val="none"/>
        <c:tickLblPos val="nextTo"/>
        <c:crossAx val="10681222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Table!PvtOrderValue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Value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c:f>
              <c:strCache>
                <c:ptCount val="1"/>
                <c:pt idx="0">
                  <c:v>Total</c:v>
                </c:pt>
              </c:strCache>
            </c:strRef>
          </c:tx>
          <c:spPr>
            <a:solidFill>
              <a:schemeClr val="accent1"/>
            </a:solidFill>
            <a:ln>
              <a:noFill/>
            </a:ln>
            <a:effectLst/>
          </c:spPr>
          <c:invertIfNegative val="0"/>
          <c:cat>
            <c:strRef>
              <c:f>'Pivot Table'!$E$9:$E$16</c:f>
              <c:strCache>
                <c:ptCount val="7"/>
                <c:pt idx="0">
                  <c:v>1</c:v>
                </c:pt>
                <c:pt idx="1">
                  <c:v>2</c:v>
                </c:pt>
                <c:pt idx="2">
                  <c:v>3</c:v>
                </c:pt>
                <c:pt idx="3">
                  <c:v>4</c:v>
                </c:pt>
                <c:pt idx="4">
                  <c:v>5</c:v>
                </c:pt>
                <c:pt idx="5">
                  <c:v>6-10</c:v>
                </c:pt>
                <c:pt idx="6">
                  <c:v>More Than 10</c:v>
                </c:pt>
              </c:strCache>
            </c:strRef>
          </c:cat>
          <c:val>
            <c:numRef>
              <c:f>'Pivot Table'!$F$9:$F$16</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DF2-4BA0-8AD3-A135EC2CC15D}"/>
            </c:ext>
          </c:extLst>
        </c:ser>
        <c:dLbls>
          <c:showLegendKey val="0"/>
          <c:showVal val="0"/>
          <c:showCatName val="0"/>
          <c:showSerName val="0"/>
          <c:showPercent val="0"/>
          <c:showBubbleSize val="0"/>
        </c:dLbls>
        <c:gapWidth val="12"/>
        <c:overlap val="-27"/>
        <c:axId val="1133245088"/>
        <c:axId val="862111408"/>
      </c:barChart>
      <c:catAx>
        <c:axId val="113324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111408"/>
        <c:crosses val="autoZero"/>
        <c:auto val="1"/>
        <c:lblAlgn val="ctr"/>
        <c:lblOffset val="100"/>
        <c:noMultiLvlLbl val="0"/>
      </c:catAx>
      <c:valAx>
        <c:axId val="86211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24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Table!pvtPopularProducts</c:name>
    <c:fmtId val="2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t>Popular products &amp; Gender-wise Split</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Table'!$B$23:$B$24</c:f>
              <c:strCache>
                <c:ptCount val="1"/>
                <c:pt idx="0">
                  <c:v>Female</c:v>
                </c:pt>
              </c:strCache>
            </c:strRef>
          </c:tx>
          <c:spPr>
            <a:solidFill>
              <a:schemeClr val="accent1"/>
            </a:solidFill>
            <a:ln>
              <a:noFill/>
            </a:ln>
            <a:effectLst/>
          </c:spPr>
          <c:invertIfNegative val="0"/>
          <c:cat>
            <c:strRef>
              <c:f>'Pivot Table'!$A$25:$A$45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Table'!$B$25:$B$45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676-4907-BF64-131ACA96147F}"/>
            </c:ext>
          </c:extLst>
        </c:ser>
        <c:ser>
          <c:idx val="1"/>
          <c:order val="1"/>
          <c:tx>
            <c:strRef>
              <c:f>'Pivot Table'!$C$23:$C$24</c:f>
              <c:strCache>
                <c:ptCount val="1"/>
                <c:pt idx="0">
                  <c:v>Male</c:v>
                </c:pt>
              </c:strCache>
            </c:strRef>
          </c:tx>
          <c:spPr>
            <a:solidFill>
              <a:schemeClr val="accent2"/>
            </a:solidFill>
            <a:ln>
              <a:noFill/>
            </a:ln>
            <a:effectLst/>
          </c:spPr>
          <c:invertIfNegative val="0"/>
          <c:cat>
            <c:strRef>
              <c:f>'Pivot Table'!$A$25:$A$45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Table'!$C$25:$C$45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F676-4907-BF64-131ACA96147F}"/>
            </c:ext>
          </c:extLst>
        </c:ser>
        <c:ser>
          <c:idx val="2"/>
          <c:order val="2"/>
          <c:tx>
            <c:strRef>
              <c:f>'Pivot Table'!$D$23:$D$24</c:f>
              <c:strCache>
                <c:ptCount val="1"/>
                <c:pt idx="0">
                  <c:v>Other</c:v>
                </c:pt>
              </c:strCache>
            </c:strRef>
          </c:tx>
          <c:spPr>
            <a:solidFill>
              <a:schemeClr val="accent3"/>
            </a:solidFill>
            <a:ln>
              <a:noFill/>
            </a:ln>
            <a:effectLst/>
          </c:spPr>
          <c:invertIfNegative val="0"/>
          <c:cat>
            <c:strRef>
              <c:f>'Pivot Table'!$A$25:$A$45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Table'!$D$25:$D$45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F676-4907-BF64-131ACA96147F}"/>
            </c:ext>
          </c:extLst>
        </c:ser>
        <c:ser>
          <c:idx val="3"/>
          <c:order val="3"/>
          <c:tx>
            <c:strRef>
              <c:f>'Pivot Table'!$E$23:$E$24</c:f>
              <c:strCache>
                <c:ptCount val="1"/>
                <c:pt idx="0">
                  <c:v>Unknown</c:v>
                </c:pt>
              </c:strCache>
            </c:strRef>
          </c:tx>
          <c:spPr>
            <a:solidFill>
              <a:schemeClr val="accent4"/>
            </a:solidFill>
            <a:ln>
              <a:noFill/>
            </a:ln>
            <a:effectLst/>
          </c:spPr>
          <c:invertIfNegative val="0"/>
          <c:cat>
            <c:strRef>
              <c:f>'Pivot Table'!$A$25:$A$45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Table'!$E$25:$E$45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F676-4907-BF64-131ACA96147F}"/>
            </c:ext>
          </c:extLst>
        </c:ser>
        <c:dLbls>
          <c:showLegendKey val="0"/>
          <c:showVal val="0"/>
          <c:showCatName val="0"/>
          <c:showSerName val="0"/>
          <c:showPercent val="0"/>
          <c:showBubbleSize val="0"/>
        </c:dLbls>
        <c:gapWidth val="13"/>
        <c:overlap val="100"/>
        <c:axId val="1324305840"/>
        <c:axId val="1131530000"/>
      </c:barChart>
      <c:catAx>
        <c:axId val="132430584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30000"/>
        <c:crosses val="autoZero"/>
        <c:auto val="1"/>
        <c:lblAlgn val="ctr"/>
        <c:lblOffset val="100"/>
        <c:noMultiLvlLbl val="0"/>
      </c:catAx>
      <c:valAx>
        <c:axId val="113153000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0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Table!PvtGenderBased</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462980460775736"/>
              <c:y val="0.25631331207566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23185161854768155"/>
              <c:y val="-0.122780633825730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351111111111109"/>
                  <c:h val="0.16504153922908393"/>
                </c:manualLayout>
              </c15:layout>
            </c:ext>
          </c:extLst>
        </c:dLbl>
      </c:pivotFmt>
      <c:pivotFmt>
        <c:idx val="3"/>
        <c:spPr>
          <a:solidFill>
            <a:schemeClr val="accent3"/>
          </a:solidFill>
          <a:ln w="19050">
            <a:solidFill>
              <a:schemeClr val="lt1"/>
            </a:solidFill>
          </a:ln>
          <a:effectLst/>
        </c:spPr>
        <c:dLbl>
          <c:idx val="0"/>
          <c:layout>
            <c:manualLayout>
              <c:x val="-0.21648130650335376"/>
              <c:y val="-9.65336977505911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914074074074067"/>
                  <c:h val="0.13757575757575757"/>
                </c:manualLayout>
              </c15:layout>
            </c:ext>
          </c:extLst>
        </c:dLbl>
      </c:pivotFmt>
      <c:pivotFmt>
        <c:idx val="4"/>
        <c:spPr>
          <a:solidFill>
            <a:schemeClr val="accent2"/>
          </a:solidFill>
          <a:ln w="19050">
            <a:solidFill>
              <a:schemeClr val="lt1"/>
            </a:solidFill>
          </a:ln>
          <a:effectLst/>
        </c:spPr>
        <c:dLbl>
          <c:idx val="0"/>
          <c:layout>
            <c:manualLayout>
              <c:x val="-0.12722216389617966"/>
              <c:y val="6.3894492527277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462980460775736"/>
              <c:y val="0.25631331207566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22216389617966"/>
              <c:y val="6.3894492527277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1648130650335376"/>
              <c:y val="-9.65336977505911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914074074074067"/>
                  <c:h val="0.13757575757575757"/>
                </c:manualLayout>
              </c15:layout>
            </c:ext>
          </c:extLst>
        </c:dLbl>
      </c:pivotFmt>
      <c:pivotFmt>
        <c:idx val="9"/>
        <c:spPr>
          <a:solidFill>
            <a:schemeClr val="accent1"/>
          </a:solidFill>
          <a:ln w="19050">
            <a:solidFill>
              <a:schemeClr val="lt1"/>
            </a:solidFill>
          </a:ln>
          <a:effectLst/>
        </c:spPr>
        <c:dLbl>
          <c:idx val="0"/>
          <c:layout>
            <c:manualLayout>
              <c:x val="0.23185161854768155"/>
              <c:y val="-0.122780633825730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351111111111109"/>
                  <c:h val="0.16504153922908393"/>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462980460775736"/>
              <c:y val="0.25631331207566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722216389617966"/>
              <c:y val="6.3894492527277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1648130650335376"/>
              <c:y val="-9.65336977505911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914074074074067"/>
                  <c:h val="0.13757575757575757"/>
                </c:manualLayout>
              </c15:layout>
            </c:ext>
          </c:extLst>
        </c:dLbl>
      </c:pivotFmt>
      <c:pivotFmt>
        <c:idx val="14"/>
        <c:spPr>
          <a:solidFill>
            <a:schemeClr val="accent1"/>
          </a:solidFill>
          <a:ln w="19050">
            <a:solidFill>
              <a:schemeClr val="lt1"/>
            </a:solidFill>
          </a:ln>
          <a:effectLst/>
        </c:spPr>
        <c:dLbl>
          <c:idx val="0"/>
          <c:layout>
            <c:manualLayout>
              <c:x val="0.23185161854768155"/>
              <c:y val="-0.122780633825730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351111111111109"/>
                  <c:h val="0.16504153922908393"/>
                </c:manualLayout>
              </c15:layout>
            </c:ext>
          </c:extLst>
        </c:dLbl>
      </c:pivotFmt>
    </c:pivotFmts>
    <c:plotArea>
      <c:layout/>
      <c:doughnutChart>
        <c:varyColors val="1"/>
        <c:ser>
          <c:idx val="0"/>
          <c:order val="0"/>
          <c:tx>
            <c:strRef>
              <c:f>'Pivot Table'!$Q$2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C6-49F9-A6BB-7B11F5F343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C6-49F9-A6BB-7B11F5F343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C6-49F9-A6BB-7B11F5F343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C6-49F9-A6BB-7B11F5F343EF}"/>
              </c:ext>
            </c:extLst>
          </c:dPt>
          <c:dLbls>
            <c:dLbl>
              <c:idx val="0"/>
              <c:layout>
                <c:manualLayout>
                  <c:x val="0.11462980460775736"/>
                  <c:y val="0.256313312075660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C6-49F9-A6BB-7B11F5F343EF}"/>
                </c:ext>
              </c:extLst>
            </c:dLbl>
            <c:dLbl>
              <c:idx val="1"/>
              <c:layout>
                <c:manualLayout>
                  <c:x val="-0.12722216389617966"/>
                  <c:y val="6.38944925272770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C6-49F9-A6BB-7B11F5F343EF}"/>
                </c:ext>
              </c:extLst>
            </c:dLbl>
            <c:dLbl>
              <c:idx val="2"/>
              <c:layout>
                <c:manualLayout>
                  <c:x val="-0.21648130650335376"/>
                  <c:y val="-9.6533697750591119E-2"/>
                </c:manualLayout>
              </c:layout>
              <c:showLegendKey val="0"/>
              <c:showVal val="1"/>
              <c:showCatName val="1"/>
              <c:showSerName val="0"/>
              <c:showPercent val="0"/>
              <c:showBubbleSize val="0"/>
              <c:extLst>
                <c:ext xmlns:c15="http://schemas.microsoft.com/office/drawing/2012/chart" uri="{CE6537A1-D6FC-4f65-9D91-7224C49458BB}">
                  <c15:layout>
                    <c:manualLayout>
                      <c:w val="0.25914074074074067"/>
                      <c:h val="0.13757575757575757"/>
                    </c:manualLayout>
                  </c15:layout>
                </c:ext>
                <c:ext xmlns:c16="http://schemas.microsoft.com/office/drawing/2014/chart" uri="{C3380CC4-5D6E-409C-BE32-E72D297353CC}">
                  <c16:uniqueId val="{00000005-F2C6-49F9-A6BB-7B11F5F343EF}"/>
                </c:ext>
              </c:extLst>
            </c:dLbl>
            <c:dLbl>
              <c:idx val="3"/>
              <c:layout>
                <c:manualLayout>
                  <c:x val="0.23185161854768155"/>
                  <c:y val="-0.122780633825730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351111111111109"/>
                      <c:h val="0.16504153922908393"/>
                    </c:manualLayout>
                  </c15:layout>
                </c:ext>
                <c:ext xmlns:c16="http://schemas.microsoft.com/office/drawing/2014/chart" uri="{C3380CC4-5D6E-409C-BE32-E72D297353CC}">
                  <c16:uniqueId val="{00000007-F2C6-49F9-A6BB-7B11F5F343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Table'!$P$3:$P$7</c:f>
              <c:strCache>
                <c:ptCount val="4"/>
                <c:pt idx="0">
                  <c:v>Female</c:v>
                </c:pt>
                <c:pt idx="1">
                  <c:v>Male</c:v>
                </c:pt>
                <c:pt idx="2">
                  <c:v>Other</c:v>
                </c:pt>
                <c:pt idx="3">
                  <c:v>Unknown</c:v>
                </c:pt>
              </c:strCache>
            </c:strRef>
          </c:cat>
          <c:val>
            <c:numRef>
              <c:f>'Pivot Table'!$Q$3:$Q$7</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2C6-49F9-A6BB-7B11F5F343EF}"/>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Table!PvtDeliveryTime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Delivery</a:t>
            </a:r>
            <a:r>
              <a:rPr lang="en-US" b="1" baseline="0"/>
              <a:t>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Total</c:v>
                </c:pt>
              </c:strCache>
            </c:strRef>
          </c:tx>
          <c:spPr>
            <a:solidFill>
              <a:schemeClr val="accent1"/>
            </a:solidFill>
            <a:ln>
              <a:noFill/>
            </a:ln>
            <a:effectLst/>
          </c:spPr>
          <c:invertIfNegative val="0"/>
          <c:cat>
            <c:strRef>
              <c:f>'Pivot Table'!$A$49:$A$64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Table'!$B$49:$B$64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2DF-4FE8-9942-55892BAC7DF1}"/>
            </c:ext>
          </c:extLst>
        </c:ser>
        <c:dLbls>
          <c:showLegendKey val="0"/>
          <c:showVal val="0"/>
          <c:showCatName val="0"/>
          <c:showSerName val="0"/>
          <c:showPercent val="0"/>
          <c:showBubbleSize val="0"/>
        </c:dLbls>
        <c:gapWidth val="19"/>
        <c:overlap val="-27"/>
        <c:axId val="1334147888"/>
        <c:axId val="1131542960"/>
      </c:barChart>
      <c:catAx>
        <c:axId val="133414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42960"/>
        <c:crosses val="autoZero"/>
        <c:auto val="1"/>
        <c:lblAlgn val="ctr"/>
        <c:lblOffset val="100"/>
        <c:noMultiLvlLbl val="0"/>
      </c:catAx>
      <c:valAx>
        <c:axId val="113154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1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Table!PvtRatings</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Table'!$E$48:$E$49</c:f>
              <c:strCache>
                <c:ptCount val="1"/>
                <c:pt idx="0">
                  <c:v>1</c:v>
                </c:pt>
              </c:strCache>
            </c:strRef>
          </c:tx>
          <c:spPr>
            <a:solidFill>
              <a:schemeClr val="accent1"/>
            </a:solidFill>
            <a:ln>
              <a:noFill/>
            </a:ln>
            <a:effectLst/>
            <a:sp3d/>
          </c:spPr>
          <c:invertIfNegative val="0"/>
          <c:cat>
            <c:strRef>
              <c:f>'Pivot Table'!$D$50:$D$53</c:f>
              <c:strCache>
                <c:ptCount val="3"/>
                <c:pt idx="0">
                  <c:v>Jan</c:v>
                </c:pt>
                <c:pt idx="1">
                  <c:v>Feb</c:v>
                </c:pt>
                <c:pt idx="2">
                  <c:v>Mar</c:v>
                </c:pt>
              </c:strCache>
            </c:strRef>
          </c:cat>
          <c:val>
            <c:numRef>
              <c:f>'Pivot Table'!$E$50:$E$53</c:f>
              <c:numCache>
                <c:formatCode>General</c:formatCode>
                <c:ptCount val="3"/>
                <c:pt idx="0">
                  <c:v>7</c:v>
                </c:pt>
                <c:pt idx="1">
                  <c:v>8</c:v>
                </c:pt>
                <c:pt idx="2">
                  <c:v>6</c:v>
                </c:pt>
              </c:numCache>
            </c:numRef>
          </c:val>
          <c:extLst>
            <c:ext xmlns:c16="http://schemas.microsoft.com/office/drawing/2014/chart" uri="{C3380CC4-5D6E-409C-BE32-E72D297353CC}">
              <c16:uniqueId val="{00000000-0C67-43BA-B1CA-3C6031D0FB07}"/>
            </c:ext>
          </c:extLst>
        </c:ser>
        <c:ser>
          <c:idx val="1"/>
          <c:order val="1"/>
          <c:tx>
            <c:strRef>
              <c:f>'Pivot Table'!$F$48:$F$49</c:f>
              <c:strCache>
                <c:ptCount val="1"/>
                <c:pt idx="0">
                  <c:v>2</c:v>
                </c:pt>
              </c:strCache>
            </c:strRef>
          </c:tx>
          <c:spPr>
            <a:solidFill>
              <a:schemeClr val="accent2"/>
            </a:solidFill>
            <a:ln>
              <a:noFill/>
            </a:ln>
            <a:effectLst/>
            <a:sp3d/>
          </c:spPr>
          <c:invertIfNegative val="0"/>
          <c:cat>
            <c:strRef>
              <c:f>'Pivot Table'!$D$50:$D$53</c:f>
              <c:strCache>
                <c:ptCount val="3"/>
                <c:pt idx="0">
                  <c:v>Jan</c:v>
                </c:pt>
                <c:pt idx="1">
                  <c:v>Feb</c:v>
                </c:pt>
                <c:pt idx="2">
                  <c:v>Mar</c:v>
                </c:pt>
              </c:strCache>
            </c:strRef>
          </c:cat>
          <c:val>
            <c:numRef>
              <c:f>'Pivot Table'!$F$50:$F$53</c:f>
              <c:numCache>
                <c:formatCode>General</c:formatCode>
                <c:ptCount val="3"/>
                <c:pt idx="0">
                  <c:v>37</c:v>
                </c:pt>
                <c:pt idx="1">
                  <c:v>51</c:v>
                </c:pt>
                <c:pt idx="2">
                  <c:v>39</c:v>
                </c:pt>
              </c:numCache>
            </c:numRef>
          </c:val>
          <c:extLst>
            <c:ext xmlns:c16="http://schemas.microsoft.com/office/drawing/2014/chart" uri="{C3380CC4-5D6E-409C-BE32-E72D297353CC}">
              <c16:uniqueId val="{00000001-0C67-43BA-B1CA-3C6031D0FB07}"/>
            </c:ext>
          </c:extLst>
        </c:ser>
        <c:ser>
          <c:idx val="2"/>
          <c:order val="2"/>
          <c:tx>
            <c:strRef>
              <c:f>'Pivot Table'!$G$48:$G$49</c:f>
              <c:strCache>
                <c:ptCount val="1"/>
                <c:pt idx="0">
                  <c:v>3</c:v>
                </c:pt>
              </c:strCache>
            </c:strRef>
          </c:tx>
          <c:spPr>
            <a:solidFill>
              <a:schemeClr val="accent3"/>
            </a:solidFill>
            <a:ln>
              <a:noFill/>
            </a:ln>
            <a:effectLst/>
            <a:sp3d/>
          </c:spPr>
          <c:invertIfNegative val="0"/>
          <c:cat>
            <c:strRef>
              <c:f>'Pivot Table'!$D$50:$D$53</c:f>
              <c:strCache>
                <c:ptCount val="3"/>
                <c:pt idx="0">
                  <c:v>Jan</c:v>
                </c:pt>
                <c:pt idx="1">
                  <c:v>Feb</c:v>
                </c:pt>
                <c:pt idx="2">
                  <c:v>Mar</c:v>
                </c:pt>
              </c:strCache>
            </c:strRef>
          </c:cat>
          <c:val>
            <c:numRef>
              <c:f>'Pivot Table'!$G$50:$G$53</c:f>
              <c:numCache>
                <c:formatCode>General</c:formatCode>
                <c:ptCount val="3"/>
                <c:pt idx="0">
                  <c:v>150</c:v>
                </c:pt>
                <c:pt idx="1">
                  <c:v>182</c:v>
                </c:pt>
                <c:pt idx="2">
                  <c:v>163</c:v>
                </c:pt>
              </c:numCache>
            </c:numRef>
          </c:val>
          <c:extLst>
            <c:ext xmlns:c16="http://schemas.microsoft.com/office/drawing/2014/chart" uri="{C3380CC4-5D6E-409C-BE32-E72D297353CC}">
              <c16:uniqueId val="{00000002-0C67-43BA-B1CA-3C6031D0FB07}"/>
            </c:ext>
          </c:extLst>
        </c:ser>
        <c:ser>
          <c:idx val="3"/>
          <c:order val="3"/>
          <c:tx>
            <c:strRef>
              <c:f>'Pivot Table'!$H$48:$H$49</c:f>
              <c:strCache>
                <c:ptCount val="1"/>
                <c:pt idx="0">
                  <c:v>4</c:v>
                </c:pt>
              </c:strCache>
            </c:strRef>
          </c:tx>
          <c:spPr>
            <a:solidFill>
              <a:schemeClr val="accent4"/>
            </a:solidFill>
            <a:ln>
              <a:noFill/>
            </a:ln>
            <a:effectLst/>
            <a:sp3d/>
          </c:spPr>
          <c:invertIfNegative val="0"/>
          <c:cat>
            <c:strRef>
              <c:f>'Pivot Table'!$D$50:$D$53</c:f>
              <c:strCache>
                <c:ptCount val="3"/>
                <c:pt idx="0">
                  <c:v>Jan</c:v>
                </c:pt>
                <c:pt idx="1">
                  <c:v>Feb</c:v>
                </c:pt>
                <c:pt idx="2">
                  <c:v>Mar</c:v>
                </c:pt>
              </c:strCache>
            </c:strRef>
          </c:cat>
          <c:val>
            <c:numRef>
              <c:f>'Pivot Table'!$H$50:$H$53</c:f>
              <c:numCache>
                <c:formatCode>General</c:formatCode>
                <c:ptCount val="3"/>
                <c:pt idx="0">
                  <c:v>312</c:v>
                </c:pt>
                <c:pt idx="1">
                  <c:v>373</c:v>
                </c:pt>
                <c:pt idx="2">
                  <c:v>351</c:v>
                </c:pt>
              </c:numCache>
            </c:numRef>
          </c:val>
          <c:extLst>
            <c:ext xmlns:c16="http://schemas.microsoft.com/office/drawing/2014/chart" uri="{C3380CC4-5D6E-409C-BE32-E72D297353CC}">
              <c16:uniqueId val="{00000003-0C67-43BA-B1CA-3C6031D0FB07}"/>
            </c:ext>
          </c:extLst>
        </c:ser>
        <c:ser>
          <c:idx val="4"/>
          <c:order val="4"/>
          <c:tx>
            <c:strRef>
              <c:f>'Pivot Table'!$I$48:$I$49</c:f>
              <c:strCache>
                <c:ptCount val="1"/>
                <c:pt idx="0">
                  <c:v>5</c:v>
                </c:pt>
              </c:strCache>
            </c:strRef>
          </c:tx>
          <c:spPr>
            <a:solidFill>
              <a:schemeClr val="accent5"/>
            </a:solidFill>
            <a:ln>
              <a:noFill/>
            </a:ln>
            <a:effectLst/>
            <a:sp3d/>
          </c:spPr>
          <c:invertIfNegative val="0"/>
          <c:cat>
            <c:strRef>
              <c:f>'Pivot Table'!$D$50:$D$53</c:f>
              <c:strCache>
                <c:ptCount val="3"/>
                <c:pt idx="0">
                  <c:v>Jan</c:v>
                </c:pt>
                <c:pt idx="1">
                  <c:v>Feb</c:v>
                </c:pt>
                <c:pt idx="2">
                  <c:v>Mar</c:v>
                </c:pt>
              </c:strCache>
            </c:strRef>
          </c:cat>
          <c:val>
            <c:numRef>
              <c:f>'Pivot Table'!$I$50:$I$53</c:f>
              <c:numCache>
                <c:formatCode>General</c:formatCode>
                <c:ptCount val="3"/>
                <c:pt idx="0">
                  <c:v>224</c:v>
                </c:pt>
                <c:pt idx="1">
                  <c:v>247</c:v>
                </c:pt>
                <c:pt idx="2">
                  <c:v>250</c:v>
                </c:pt>
              </c:numCache>
            </c:numRef>
          </c:val>
          <c:extLst>
            <c:ext xmlns:c16="http://schemas.microsoft.com/office/drawing/2014/chart" uri="{C3380CC4-5D6E-409C-BE32-E72D297353CC}">
              <c16:uniqueId val="{00000006-0C67-43BA-B1CA-3C6031D0FB07}"/>
            </c:ext>
          </c:extLst>
        </c:ser>
        <c:dLbls>
          <c:showLegendKey val="0"/>
          <c:showVal val="0"/>
          <c:showCatName val="0"/>
          <c:showSerName val="0"/>
          <c:showPercent val="0"/>
          <c:showBubbleSize val="0"/>
        </c:dLbls>
        <c:gapWidth val="150"/>
        <c:shape val="box"/>
        <c:axId val="1344639600"/>
        <c:axId val="1131566000"/>
        <c:axId val="0"/>
      </c:bar3DChart>
      <c:catAx>
        <c:axId val="134463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66000"/>
        <c:crosses val="autoZero"/>
        <c:auto val="1"/>
        <c:lblAlgn val="ctr"/>
        <c:lblOffset val="100"/>
        <c:noMultiLvlLbl val="0"/>
      </c:catAx>
      <c:valAx>
        <c:axId val="11315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6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title pos="t" align="ctr" overlay="0">
      <cx:tx>
        <cx:txData>
          <cx:v>Geography-wise Split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Geography-wise Split</a:t>
          </a:r>
        </a:p>
      </cx:txPr>
    </cx:title>
    <cx:plotArea>
      <cx:plotAreaRegion>
        <cx:series layoutId="regionMap" uniqueId="{00000000-E1AC-47DE-8001-ECBFB2F1E577}">
          <cx:tx>
            <cx:txData>
              <cx:f>_xlchart.v5.3</cx:f>
              <cx:v>Sum of Quantity</cx:v>
            </cx:txData>
          </cx:tx>
          <cx:dataId val="0"/>
          <cx:layoutPr>
            <cx:geography cultureLanguage="en-US" cultureRegion="IN" attribution="Powered by Bing">
              <cx:geoCache provider="{E9337A44-BEBE-4D9F-B70C-5C5E7DAFC167}">
                <cx:binary>7H1pb9vIsvZfCfL5padXdvfBmQOcpijJm+LEWSb5QjiOw33r5tb89bcUxzmW7OQowBh4r3GVmQls
sqgin+5anqri/PN6+sd1cXNlXkxlUdl/XE9/vky6rvnHH3/Y6+SmvLJHZXptalt/7Y6u6/KP+uvX
9Prmjy/makyr+A+CMPvjOrky3c308l//hKvFN/VZfX3VpXX1ur8x7s2N7YvO/uLYo4deXH0p02qR
2s6k1x3+82VwVaRfa1OlVy93jxE4VleduXoR1Lbb/revOvfyxU3VpZ1765qbP1/uXIy8fPHH/nc+
0O9FAbfQ9V9AmMojhKVSlAr17SNfvijqKv5+2MOEHGHKJBcYjtx+7eaqBMnf1eubVldfvpgba+Em
v/39k6vs3BGc8+8Dn8r19ulsUYkBoD9fvqvS7ubLi8vuqruxL1+ktv72+IwL6u2tv7v89qz+2MX1
X//c+wU8vb3f3IN+/1H/t0O76P4X5M+vTFo9AeTiSAnGBUf0p5BziqUv1B7kByv0ONa74geAvCvw
zND9dwHb6MtTbGlxJBGTRPrf8RUPtzQRhAkfjMX9Hf0bGj0O8P4FDoB4X+SZgRzURW+fAmN1RJAi
1MccffsAlPtmGyFJfcX4LsiHa/Q4xnvyB0C8J/HMEP530aTVzRNYaXnkK8oBYPa4lcbqSMCHc8F2
ET5co8cR3pM/AOE9iWeG8NYLNfWT7GJxxCQjgktyu4vx3i4GjJXPhCQC3S6CXaR/R7PHsX5whQPQ
fiDzzPD+d3n1pTZPsqMpOF1EJGzYXWONYCsToihS39YBLIMdv3ywQo+DvHdDB0C8J/HMANZ91z2F
xVZHHBPK0M8sNsFHnDMfY7IH8MEKPY7vrvgB8O4KPDN0IZe+Gm7MlX2SHYyVTzAR4idRFzry5TYu
Y/7uFv4tpR5H+eElDkD6odAzQ3txU7zY1MDQ/P1oM3wkOAPDvOVHtp8HeRSDIJxRyKP2EqnfUupx
tB9e4gC0Hwo9M7TPgQu7MTfu7web+ke+8IWg6PvWpvs+Gh/53Gc+3c+af0enx7F+cIUDoH4g88yQ
DosXi9pAIPYEUMsjQZTPyXd6RKl9qCEcUwoD6ek/Fo79lmqPI/7wEgdA/lDomWG+BGq4egrA/SNB
sc85xreGfB/wbSotOfzBe2TJ4Ro9jvOe/AEg70k8M4TPrqy9eQJKm6EjBkSJVN/zaPTAekNgBocZ
kNq7gdnhGj2O8J78AQjvSTwzhFfFTfUEAFPIrQjiWBEIrHdzZ6hPKYkF5XtB2MGaPA7srvgBuO4K
PDNY1335uS6+dH+/N4atK6SPGXuILDvCPqYIKhm3Znt35/6OSo9D/OAKB6D8QOaZAX1cNjcmvSr+
fqApgaiKSM4ovk2e92005kccnDTHwJFtP3skye9o9jjeD65wAN4PZJ4b3pV7mohLIgIWW3wvXjyI
uCRYbeX7Uu6VmI8P1OcnCN+XPgTd++c/M2Q3V81TFB7lEVFQPAYO8/FdDP0iYK+BBJV7/vhQfR5H
dkf6AGR3zn9myJ7emKcIsfgRFd/Y61vzu7W/O5EWZEnbViFMyV4Mfag+jyO7I30AsjvnPzdkoe3s
KXhr/whAg13L+E8TYB+Owabeh/ZQhX6C7Y74IeDuCDwzdM+u8iegqSE1AhIaQ4WY3lrkR1pBFObY
l2KvKHGoPo9juyN9ALQ75z83ZGv74t9VfFPcPMXuZUeIE0Ll3e7db9HE4JMZhdoyLILtZy9wPvs9
5X6C9iMXOQT0R8SeGfbnV1+g2vgE+ZIPvR8EaA1o1LyDdccfE3SEfGjNZRii6/v9Aodr9DjWe/IH
wLwn8dwQvqm+1Nfpk1DT6ghvUyQhvofT+0EXoVBjFD6l2+rjDsi/o9RPcH5wiUOgfiD07NA219A1
HvztnfbiiCJf+dL/Tmftm3HYz0xiBVac3e33XcAP1etnaO/IHwT1jsRzw7mGTf33wwxdA0whBcG0
fxtrPyCs0RFnBHqEMBBgOwAfqtBP8N0RPwTeHYFnh+6TmGuItKDh9scWftASAjkyIVIqiMb3wT1M
n59he0/6IGjvnf/MkN3cDFdPMjYB0PlESIq+x1v7/DS07yEM/fRM7eVRh2v0OLp78gfguyfxvwDh
X6u4c8vbqah/3+2eR0bcfnfCTcCeZb6v8G1z7WO8lo8FERgC6W+fu+/+Pud2bzbv1lw/ptPjyEL7
3eNzfbe3+OuH8jTzaj+fZfsxJri46q7CbwOG98bZfn302+3DdOSe6Hf/9sgD+0EOH3/58yXEvpQj
DL/7Mbu4vdCOd9wWBu6A2ZW5ubLdny89DPUj6JX3YbaNSejjYhAwjzffD0HLD6APOTSiEGkraMCu
oGkwgflHaMH3mSLQ+0UhyJYMDtm6/3aIbyuT0JzPwKRzzKHx6+42L+rCxXX145l8//lF1ZcXdVp1
Fu7JRy9fNLfnbfXlyIcefrrVgYAWlFPQr7m+erNlvOD0/0eTosHxILpNmfvJsq6LdDHVJZPza0eG
eWh0qpJo9kOWDCipwnzIx5DjjuCwpsRVY8BcSovTVqate5WNMLLJtexHbrjGk9/2uuRFQldYVGWB
NWNFal8nXpQNZOFFqq4+zcbv2YXoe2WqhUDNwE4nzkc7BdhrM3sl5s7Ms+78SFgUTJMZlNV4SMwq
s406T1qUHMeT8XU7juxdWzdBLtNCt32dc83yrFzgdhxOU1e7JZFptRFF3r/Bfj5+RhXnzfGQJfHn
gZlpWVhUnqV+XocFq6NN5nG2HLwsWfsMl7mWI3WvYc9Gx7avx/O8EuMGZ0O3MFHztR6lTfREiLmS
aWqDomOkD5KIk+OEZ91bMrZlAE+QX8u5UKshKcazuIt1VM/pqvAYfSNnVIQTjVtd9GhiC4ntpHnX
ecfUR25jkMmWeZ/ZJWtw02hrSzxqiulngKlbtxGaM40bhRdKJeQTnZv5IpnnrNI56cnnnFl+2rc2
PnZ5Zv+i3NIFjNmSi6pR8WKWZf+q7/NreKTVcat8fIltioogg3muczamSnNRJxtX5vEidjzd8NTa
lVKFCbNZyc3cpnxdtlUWKFeaIKGxu2b+VJzxMbLv+7Lul1ZlVWC9lJxTiotZ+4nNl05FDSyU1n+N
89pbpi23FzSlzaLrUX1KkD+cWpufRK6cQyc9uWy5m76OLCnWsinjk6lOGeiWCe88jXx0Uqa2gIFb
VxS663r/rHWyWjVxj1dshFU0cdNNeiYqOimM57/vlfehRgk5I55sXoH60dLLS3Zua8KWnTHolZuT
6aSQY3Ycp9UQ1l6XnTPbuDeJkeNisGMburSfwniYo6VtrY0X9wd8d/bsdd04k8bJ99ntHz/+621d
wj/fJn7/88vt6Pd/flrd1FvPYPdP2lrWH2f9Z2p4a8l+jBDv2cfb+fE7q/I7B39uWe8bSQ58/6+M
6n3/dOvbvpmqb1I/zCq0YWy5RwRtzhya5OCCd2aVsCMo9CHkMyTBvzIgL76bVUYgVtrGyWjrVKGD
GpLdO7NKjjiFCwqJpKQCCkq/ZVbhO3asKocdQoDcBvuNKCPbccf7VrWbad20fT9tqpGqcBijpNE1
zUQe5GIcXvsedyfZNFR5iFDefexqNryDHTq12qqq/XDv6T1m5Lc2/L6NB20Y9P/DXB7bjuD6W23v
2XhWuSZXST9sSFvhTZzPVaR7UftJMA1drfQwsv6jGBov1aaUXRu0mcnBNM1WsADSiuqL6jr0Cq6R
9AtSFPjdzD2JV87n0Q12Hp6Wv9aYgH97oDF0PkPrnOICem22Xuu+xqlIAFvXbejE43jhT3PxbmBK
0mUnXM314CacLVIRST0L36Xa5YiuysE4vDBD3X1JJmtxkHoNX1h4ccKguzJBgxaG53EY11lykffq
pLQqseB0kHpvk/Y0L0Y+han1/PPUJEO5+vVdPYRBMOjk3rp1WBv0203fuynhvHj0msJuqi5S7+tY
YgIOisDSaKp+uhgnoy6bCBd//fprt2vtPvpA3cBrEgSFARCYrSf7Hp6jKWaNjatNJWe8wXnSbypr
glRGyftffxNsnwffpNC2vwJ6p5SQe+usqZibW5PUG9kgdtWOtSlWUScd0XmThKjtizmgyMk6yCgf
y/+2aPZDGbhLsu3vYDDoAi1a+18PbfRpEldluhFtzq/KrOdXebHVgc+lDX1T19ohgH41Fu1IdJvX
4qYrlD0elWNnk08NCuiY1XmQQbTyjpqG0EUinbtpvKFZIG8uRcBVzcyaU3/u9a+f3ratd+/xQTEM
zAbMR8McPDSp7C565PccApLIO8d9VF6lprOxxl7eVUxT56r4ZEzS/HMsVXM2zW2y9Gs2pQHBg/ja
iXmuA5fEImB1NtykhoovA28ScfJrJRl/ADJlFBbRlkcCkpgLSEjvb03fyBSZpKPnGWubSMlFp5J5
NXUTVctu6PvATC16PZSO9zpJEhEYXK0sMc2qYA0J8qIt3zQFLyctijH+MGZlfexs1+mGt8073+Zy
EbVVFPR1lqU67Wg26iiz1WZsPPuq9WYaxjFWmfbmqCoDMiTlmvtd8YZk8UXsKjpB/CTaTRe1bztS
enThDwQeZOoI2AbWQxSARpmdFQmXHyPUs5PEl/hsjqdBBSNKWAmj4y499qRxpR6dnBd45N5izqbr
xrbdZY88keix7MQysm1/zCJC3rYJHvNVJDyc6jnJo88QdJtBp1XrfepLUS6axpLjvK6aY9yq4ks6
ND7se1rml6mKJqGHlsUnJjJ94OA5rDAj6lU7llPIRtMuMZ7wEBbwPpQ4GMZYtsFAkigsLTWLvlGv
ksiL0QLjuluDqyFjUKHM17ITxV9TiZJTYlRzyWnHV73KPLK0fjlfSb82oUVTNi+HXMZLb5rQFbHF
+NXGTcODmXSo11VMhng5dVkNm2McQxcPvVyaOkoWRUfLdQWnanBApoYHXQ5CZzbLvEBEo9Ci5tOs
WVdEAe28qlwZPw9j1jv0eqSYwbtoDCp0BiupW9JuVHY1UTGd+fk8F9Hrfmy7stQuLVxlviRRQsj8
0Y7eJMpEKwOmvL4mrsw6amC2sO8btOnyrsynE5W282pQfRcdlyZNG52Ror5EwqPHmaO0D3rAINKu
RQqiwaSUclFFEfjDrsghoIPcIEaBKTocvYL8whf1OndiTBZuKlR35tuOwooaoxrbMejBFy59L8mi
VwNsHT8OWtlIWHA0t+WyKlKjdNGC84rCaUj9ALIerLh2EaoYvF4nKssgUf0YLcdCFGVoI4gKlryK
yzmQMweLWZGc9UGZGK/Qg3WxvbCpV5ZhHafyq9cPIkULVJNulTLZyw33ojg6qajoBM+CarLt7NYW
anYmCZs4EWUY2WFul8rYKl26wi/dGkEy0QScuCINxMRdsTJpm3oBwEo+eE054wWlfl4u4F/kvSoy
5Fl45FX1IStLVR5To7oizJPOfzP3HaXLzKsJPk3GxIpKi4Qk3SoyQ1NdgjOmJ1k8k3zZN6BBWHdF
PIcST7MKZOaa8byUDpa2B1vFLCKM+xNDOS8WcUTjfiGqAeBMhYX4pJozOt8UOVX+QoIC5YK6MmmP
MUrZOk5F7gckz1u6SOs0Wsx9BAmhN5pGXWTRmLGApm0267LJZu8URQVb4iaKOairRBNil8z1cZLi
MQ5zxZJRb8/TWKWqguUT0zaYxtSDxHRKvU8GeALn6RT2EdnguUrnVMuBefStK0bSb/xGuXpRqbY7
530FLim2IgcBVUL+v4zSBFcfZ1xUyUnrymJa2pHP6Snu4u4tywi/4lNURlpiWLzLvpoEDa0/p6B8
jyHBLWib20COUZjitP1YjCNEFlmcDZeW++PnxiR0PYgxjkKZc0R0JSO4Di/qbFpWZsCbeWooe207
jt/izoMzRt+zMuiwE1M4kDJL1wZS2/G4ErElr1JPqPcVareLM8tauxKFTezF5FgnA9SOgE0yVqBY
bcHonoIHU++BBIHVDSlrbiCzVVN93FkVkYvM9Hn+hshKseOJZWN/3k3dNvhM3HTBc8+fwnos4avr
ep4HSLDLbl6hXGxvfqv6CPYJ9GpKvGG8grvoWw6PKsnrfA5UPsDWaYo4T19XRsCWNz1EBTEcA5tK
uip51WLmTKVpkyCAezRTf156SWN1ivp2Wk4wmUdDN7SQzMPPtg3gjsCATApv4+SuKt9HMNJ1Ioc0
lVomPId14WL/aqwoqDGZzL2h3YTsaQxhbnZaN1WeXUrwFitbIbxpVdx+ZIj4rU5YkpKTWsaqP42S
Oh4Wzoh2hADX0VVD4LEGSLTuOi9yfjH1FtXrFrkh/zD6ZWzXZeSVX92stjYkbYtkAXmApGFKXGKX
jV+qDx6KymU5NsAwCLbNW82YvEnrzp6qMs/4ghNDYjB7MH6qh4So9ybzhjgsSAXbZPYiqo5ZVeP2
pgSD7E5g/AH2xri12GHGPXiiEzARITiZsT3Fpid+EKmiG8DT0gFB6N1mn4wa1FvPQZh+MqvO4C+d
rZzVJcZiOE5HApeaSpzMARtjPz5uAJYx8HLlL+d6GLrzyYniMhtsq6Wwa1ZOA1/Pow/g5AjbedUU
eV2fV/7EzrwOsTpM2qocTmM3NkkguS2TtxCJ2C9IVWBGwHTaQeeJHa1W4yBb8AKuvSziFqd/4Xqm
ctAzRGDuXdNRT8HFbGTCRHh5fOJFzfg5iZE3BIWwfn6cKoRfT9aL5pUBniUN07mHRZqSLqMXU17M
fFP6DfASbTMg/5zhhE2Bg+jGhmPSAGqjrNJYm1mUYDusLUI80ckshoJIs5plC6s/Z1MsFi5yyAZR
Y/32w8gdfpslBtYaeDr1HtZ6aS8qVWEwsKRR2VKWiT/qqf9IgJaTWOf5IN5xUrXjYuRxx85ZVMjh
TRtZZcC5w4oOm5QCmpA4uOkspV1enwnTJPSCTKjwj6OpVnBf0+TF57nxmnFR2ghsBkRjfXdeFBHo
b1QeL20i82QxTggdu5bBvne+L1LNokScf4tKv7PCF7fZzC2veZ/LuE9tHMKRnN+9V2+fJNm50P/n
TMojHDWH9PnnHPV74FB6c3WfgbmltrdiP/gUeLEP3b7sQyDYa9+YkTs+BaqHXCiOKdSYgDnxIS25
o6nZESxqIhRjivnQYA0J3x2fAh0iEKPezi7jb4fuCKUdOIGd//7zfZp6PzPi0NwNc5LQvS0wV2g/
M5qQFw/GVP1mdnnQml7HlutUlv8tA0OPpOgc3oTCIAdDBMbo93gbDOaq9TPWbFDP1bs8aT0/KEXh
5jXMDHADUWzVs2Nro/kyI+ClYFSIfcikiD82dSZPTOzUKRYlRPbANEwXiaNvqKsHCI1dLOzpANQr
/TQA3SkvxqgdhmWGa7YY2JBqP/eKV2NWWBymTVMTcHtFPwTSi6NMpzaq/kpzp0IuZ4MWtrrmBRs3
gjXFK9ajpghwkxduWUcTDYqh115h61GLdKzpKzRgnp8NRfbKdPkIEU81Qcx5ASMxN9w2X6o2hkwG
vRVDuwa+asU9v14RBHfhNWmoWLRUZcin8jhyrl3QvEwX1uBF4dqviUzezA3bYNJ87elwWeAYDBkz
2UeR13ah4rw/90RjNi1EIidFqs4bVRbhPBOrK8+jXxlkdmuwCAhIkbYJyyFqdVp4PCSjPKed2tjK
jouZyGERpzNZdZV457D3V0GSdgG5PDfA88ZE6J6SBJZFVIZQ6EhDoA7hEh1Z4tw37wzr6LTwZZW8
sfHghb3AJlQTmv6CeoSDp0jqTtu8NwvmGbfI+Pym9Tt5kkB9Z3Nv7z2ylB+htuByUFeCmSNgJGBZ
7+bPrTNtHE/SbGxYXo1G48v5UmhPt0G3rtYR1skiDsuVCE1YaX7CljQk6yjI/8ta38vjJYOtLoDn
hJFzjoAPlVA+vp/H88mMfWyBrIlIfOKKZAryuI10MzICzjVXYTtEdGmIb1IdSXQeCxOdYMDIz6GS
4YTbqAg5Lcn8qQOPsLQEogt4z+kykvMnwSOus8hLgEScPrRFIzQxrQuEzehiGiOicZKVmidT6Kha
jbgKsmgOWiYjPXO1ninWjpAV9I5j3XYGFoViwVBW6wwqIzVlRteoCccxPiNRnui8SvFiaFJdlpld
wCbejJOiqzbOcm1p/C4e6zWm5Xk/SaSB6ocIEhaaUC1b9ii7/DXEu0YEnqwSyof2uG1NnsLrDveM
iJrJqJoyMhs0lNkKDEEBN4+qwEuTkEO9QrM2BnP9w6I/tqq2rMt/SL6H37mHpjcNwgx5bDeQmXzk
kQmmPq4XsxUQJPXnNVSHdOybRou2DXhhO82BFT6bTZ9o6fGzOpV/oRTCqsF6X6OcLZu2PSe1/xpF
8zWP20/lmLaLtmqb02+K/92e+3+fT8aAwA8EH9SNb8etH7rkrdQPlwyvWYN1BG4ZqOLbYsWdS4am
D7r9tYSFRqHIADHBXYkDH2EJLAMUQGD2HPjeey4Z3icAqxKuCL27TELB97dKHHy7pP6z5DjiEBJA
ZQPeLoWgrACxwa4BGXo1eU3tj6/cSK0IkyHKMigrKAcFQljpBYlOuzmPIXvKhiF/j3vsAUWFZNod
N3OK9DT4c35mnRrnMJtIN4f52FR1qyF18vn15I+i1EVjojnsYpM6DVXe9eTjWH1VqMTdpbPWmmWX
ChYtIjfPalE09egbDfVlbw5bPyZzo00+Ql1jrjEDxrGPJxyWJDZzCI3rJQbL9q3WmONVj3IpV2aI
GX9XYC/xl4Ka45TgBhJmn3VrIIHdeqKuz76OVE7LOIOKLXCRWdmF8FIPtE7yaZsXyOJzGlU+OL8R
e9o1bgi9AurTQ5kKrRKwVqj0Mj1AifzzwKFoPM8lXXXIgbXkbcxW3CVf/dFjuqzk16wqGBQvwK2K
Bo41HpCi3tCb1STq8TSJG3sqoRqu47QkuujaWENhs/qMhMg1wR1E3SUZcm2Qh3TPMYQsLkVraVii
02isrrDclmLnOj5pgGC6YOAJdDFhtZJNdZOLma9oQeOwSQa2snWXhshWvs5jkYWM98VFjnobtJC8
l81AdNm2Yyg9qNDEkt4k1qvX3OSwLIaC6jJmbWjqWGjke5+bPIrX/lz0AVa1XCXGfBVjFEGmmyZa
lJDkLUaIp+CeiFjVdWlPFEfZggDTdg46lzqu/fokH4cg7TO0gIZ1BjXq0b1WKuKrUdWQB/cJ18Ae
5CE1TOqxj4awmg2oKelfRZUTHbcZpFyGIQ10ZaxrCPV01wyt7qFat8KF376OXYv1FI/da5ECozs7
3OJgdi4/hiJxsZyBQgztALGWZVMTTlj02pa2DaOpyte4MEnQRlm5/j+zCe0226bzX5nN7+/l3beb
t2J3dhOMI9v2M0tgJ8EUCnC/P+wm2U4TSgadLgRRTODQXSoDr5+GvAJiIgj+GVSV4dBdKgPNODAf
DrUZaORR0JXzex032+G1XbsJr/GBnj6gR4A9hfmovQBQTnGrepn0r7K0a05kodi5qaZTWRXgmnvz
3i/LRZt1+bqC5TjfJLVtvde9c0BXz2kATGnxWiVNpbvcve5idlLbsl62hU01nh2UOHPsrdJigDCj
SZZxPiTHwKOjIG4ipoHpiJNADW21LEVT9Jcubj6qxNXaA6+hBZCZWdAQy06GyZtPOGQKSRQ46dKT
vsgXjkTeuvPM11hVM1RXUbRyuIY6D87VcdHHw/tGSXlKoIfmXNIKyhjpZdPTpAll6dCywTJdDAbc
gBhUBWHcTBdFkRJNfAXbEKvTXJgubGMc8I50Sz41G8mTQQ8UAsyhmCftRR2wo0k1rs1oN9haFXRV
+9FAIOjwGCbILYgl54jFp+PcJbrLmh4MnWt1JmUw9rYPK0BYx5HXhfBl8ddorP1Pbs6GCHpL2kRD
eQeY98TitTL9mySnlzJDVX/c+InXvU5x1a6hQBNUbeKvoRnFVpd+hxQ4nT4Sg6YiYiuKxyHTEAJ/
zaN+PIbWo37VV3m+mMvqwmV247PmpCqSTYvIqey8ZW3HE6/0F/UMrElbaZTNAU+bL2NF3qSd+vh/
xgOMBzDXsGl/HnPdvZxs33rcyv2wHgiIC5hr2b6GC8ErE4Ej+WE9MLyiXgJD4vv+99DqznrAVBS8
gxESKqjwbA3OnenYNut967tmgsCL2kDB32BBBN+N8iHkAmsB1WHgbWEkGv4HCFvTcq+DoGygL81B
Krcp6TwsGxRBLoTERyHjsBb9B9L57/L5deSGFWlxSFr5uu/id1Ex58A0Cho0LIcg3p37Z1nsXdMx
f1cCrbvA1GQrYME/+x3UYd0IxGuZrVEM3X1NXy85NlGQDBmUUxD+5FVD8xl3VappVIxhxtJoOSfZ
ekyNv45ic1JBmVpnNPlQ8vqscurj7HUQx0kTQA5x5bIczBe9Mj7+axocCfxuOu8GqC464OwXTZud
9r2LNS/r4YND8hMYyfS0anAUQhnWX6Ame5f3xSfkxHzMyvg4giBj6ct5Pbfk02DLjapM4Hxxqcwq
hwCtVbWBBrHxXZ+kH2XqrUdUf7DGi08EaRbKsqCsBujjQ0sIfjeTSzdQIw4gTc811GW+1E33CkjR
Vrf+uFHpSHWdkmNWL7O202A4A0Iu4/bciGXT5R9boCU0qLiydvZ1h4dFwQqrOw5hQJ4R+S5ika65
tevBhzpSBGwLZMlnflmP67oTQxClfTjW2Rsgd898VM9LBmYnGIpi3cKbcIyXjIuO2EYnBkExdU4C
PvQXTqo1ypCvERQPV0lFb7o0ZSdFBd9XFIHl8ayVMJ/R7IC6Qf5ZAkXt2mZXkx8p6NYUZ2OXvioa
tSkbtvAziKRql52NcQLFW7EQ0D+hOzb5iwLxQVcJWNN4rqfAHwesi5xBx6KwNkjT/2Hv3LbjtrFu
/UTsAQI8gLc81EFVUqkkWZJ1wyHbMkgQBEiC56ffk85Ot51Od0b+685VMhy5xCIJrDXXNyf6OinD
Bg9biQlnX6/3UR+++41zFE7Z7wZLk5w4S0zpcp3CwCahWyZBy74uVLaJ18oH7dYyLXDnnIZ98lFU
tTUIQ3Q1/Nw67lFxc9vI+W2s5+fC2i9NCwbPnRZM94LAxEYOMlk6t04r2R/HpTfp2FYvQ4nGd0Uv
lZRFfc2tx5JqnA9oIcyuE0yjpoNCXpkjo9j9ZMi/435gUtNcvK7YVQHZ+64imMDWcTNyGi+KPcpV
vym3PPXudGtWirqw1ze57c8EOAOthzVWpDnykX+RQC6jQuxRDKg44PZpstum6HwqTXAk2twMnfdh
guBYEXFxiH7TVn2CxoIvdZ3OHutObDC3w1iBkKjmq6rH/ZyXZ28IUr1OhyYyR7fzdv7iHVpR3AiP
oOdZ2KlR02my5B5Eg9oNK2apon+dQuym1lt3oEsuzaAwXV/Dmy6iD9huTlU5HrxqGXCF9XAEonvx
SHcrmvCim/GrLZcw5oI+WmNfhG5P+Sxvh8JLC7E8aKJIXOGlrxTAlKl8EVW494U51EHJj4uv98E4
FXg6+lumI5QxIbt6UhwhK19rZ8xjQdqkGLrjGJFXMk8qwbxQpREdHqbCPw/oyzAIA3eh1/oVI+ZD
CG20WfqUzquTDFzfMhW8rRxakjNlfTTtVDl+1t1wsD75vlqBKqCk2Wrz15K4Po3DFTzCA8V5Ngno
TkV33PhY+2bGbhwPsGkXqFMkhrMXVce5H/rYQXkCnuXijeqUY6AUSyNup9yrM0yEv4xlz2OnU3cO
ifatie46zPkwkp13dUug6Pruc+kO5xlyMaucOzeXj+t2Cxn3vzTujLdRZIxOJ1c4LzMZLwzCI6nm
tAB8kHXL9E6dABVXI0q8J03a9rgXnevv9CDKfcvrt4ax2yWq+7gvu0Nl5L7SmMzYwH1GsNFNizlX
UcjUt84VEIKbUO8pFENWlusXqcLH1e/FWaOuORKRPzS1vnU0yeO8VZm3+m9uE+zBPccem/yD7AMv
w6CUHqrZw7ssPqqll3GoDTlBFjxjvgDZ1W38HSnZPmwh0eKhaBIK0TMOBDnYeni1U/nY6vW8DOIp
7+xBO6uI54k/66nc45qfxKJe+rYYMRS+r1A6STImVAZoz+p573vmMvXiqSSrTXkwHhy17vuVHzsb
XFflHjoR4atxL06L2W4xLtdxoI+AwXhGUMClvJuqeHSna8OCW6uw32fKOlRlQE7KZ78ueyz+QXii
OoekyNW4K9oAze0aYuow4u1cz20ZLjFgqC5elgbT8WUfCh3d89rncd2POludso3p2JaxGMc5HpFl
Ngp8nYGWO+wwflxw5qYNVQkGaYn/g9xxAN8DqonNGI03Us113DrLd93Zo4+3OK4WXSVMdm4clDPP
fKVeRiNoSpagS0FM6p0L4MKJaxnUSVeL8+T2zUW3bv8q3RDVsL92zm7gk3+1k16BNa8Niyfl8RLq
hOdmzbSqFBPP88S6G8ip95RXO2+WWUjX57rNH0TbASIH/BIynVDFUU277Ws+gTQJxZR1KMjjsZr3
g5ej6e77L6NEf1/xz17ObsdpwSZTpvUw7nrowyWzTw1Bxc7D4h0r6zNh3SGfigvx549cslO94muK
CmgOJTNAx9lrs/qnsKxv81KxJABWJVW1A6ByMw7Yortl4GnQ5RdJ/BST4IfeViW0hPXYiODsz+XB
7dZYVM2xjqbYN6QCQlqJJJDsGk31I3TsdDTLktZaP2k16aR2qhMppyMhzm3koS1xuz2d2yMAzr1T
wXgQtifR9C+Bx05Ku0BVsNMyvqt48zWX0LUqcZ1zVAqL32RrXmSdLRO/7T/qIjo7Gjw8Hrp5Hk5D
pL4GjIiN/z0aUj50VGYBLZPIk0vM6uBQzOTRVk4b9xicJOBf4yUU2dpNu3wUaZRL6DuR3fXSPdQD
fR25lygJMtd3AG6FzoLSAio6mkys7tWrAsMgXB8UU0ezqBrmeBDq6DTyGfLJnvH1noAwi6vefVom
d8dk82JgLklZTTf9qfyWd2ZMZvAaWV+wu8knd7lgbzPpg6yUTebl4V5G5TEqSbQTIsfoa/1oFv+u
b1xc8aSAUVE8LMJMfjLxcEIt1bhZvgT8Ylxzo70hM4oHadGTq/Kcs+rnNXEE21nrdHHuF27cwa5x
KJbgsz/J5THCSpNWaj7PMx9SZzIvs79eGyf4TCmw/qZsX8mI8gWY5a6yo0q0xVXzHH3etvS0QLZG
ExUH0SmZ+E1122CeUQlnvTi0O8Ek04KosHPadvX30Z0hei2tTj3811ItqTu2j6KcATmu9XEKqYyX
foC+vu3avvc6u3jRJOEi7eYICMCCkVlV3lVgOjzpFcewWO25ybsAc3X2QoUC7Nnl18iqz6RsvMP2
ugcMMl+ksZtX3cg+86J/1I13dae5PEdMg6ppjqIhT1SgojE+ictp2AtiUlJX51aQ/RBibCL8+vvA
jcJaTjPB+FPVm5uyl6dqDFBnThCzaP8KkeshmtGJ6ia8k664q0O5U6G3nPQsn1sVffZmOFawDp98
JnU2iMDsaO99XuvoGFnXgXGk1Hs94i92Wndn3LJPwQePB6kUja1usDsKrybsESA3RRvRdY6XcbV4
VCYVC5yMumW+yuSnju9P5iRoxX7SXrYxSQSzO6bI2OMjqOR/aKBoSQg4Jl1eJBw0Wt9aSAqR9xfz
n1+F8d8/BJNfQMgMHPTWxf3UpVX53DHH2vJClqOjbwl0Xcd76qen/34t6ET//VqgIfnb2Q6A5Ldf
46ePyQmJ0AUQFO70+2Q+OeyvUN9///sRzuQSCnUfX9cfvysbLYExQa0uesKDduD5X8ys/uT3D+Fi
wzeEL8qHw/XX31+EOl+Z39YXjr7Dv/ej83//fn4Flf//bfjp+/nDvfaCyi0cLKUXr947dVK5uy5M
vTKeP5RM//ZHgZkIMFUBLx3CbvHrpSguyDqtproQeRi6pCdxA33aS7ANO81fDG5/lQ9/XNYvt2V7
xH+67cQtAdkGSl0alkQWFV2CVwtr6jLu/v5F/Xz//3BROpSRGfhvH8TKVMPdVuywj2xbcfMXz9qf
vJdh5LqEceyOG4fy60UxX1ODjVdfLGhInKQxZ37+9b9fzp89bj99xB8ft9X6qJV8oi+av8v8s+f8
Hx5nEPEeuH0w/P4P7ean+yJb5feeQ/VFYgVkYayW/8PiBUsIBoJQfygS/zH1+/nOa0ejvg9cc1nD
9ym8G3QTk/4v1q4/eWnwUsKkCcXbh0vqD+J0VAAOAfJeXzoUfkvC29j1ryOm7U26sr94kv/ks/jm
30K+Gw9d6E+/Xk8BqoBF0teXYuups9IkxZKFbWxQYz38uPn/GzMTrJr/WfL87Qi0fxc8t5/6XfDc
8K7tcQLwBHETY5GfBE/yDwLwCv/85pf7ifzi/8DhrAypBMwH+fRjAv275skR64dYNyyD0FAxTPl7
Tro/cCrQPDkFYYZfEDn4GINvB138/NSLLpykZFxdHLf9jBNiAcQO6ou7+Efl1jqWaIttN2ShX8dk
DHcrE+doAf/Ba0DEU90e67KtUd06SRcOdIclYEcMe5zKkWY8NEMyiuVM+jwNHAOy3O2fS06bRLnq
XPitSkanO6jKvtfBLOLB9b7lFPbexqlFIvz5NPPxWzW4bcIrdDIYPGXBMsL7vOg1I4Oj0q725xTs
ZZ+EQzTALk2CpDd62Wmz3NPF91OUe6dh9lkM+vKVwUkDvGv5Zkhwg+ICvf6MF12MtsIAlQGZgfFI
h9H9GrkvY47SVfKyQnPvTFDhYCiWgSyTVWBqXdcij8P8yES/W0KTxy2w1JhO8/NaiNs+1Kcmb04F
rglyX9nFNaUPU1mlo8C0udL0NnfpU76oHqOXoY5xMCBsdHbcdCiHw8rNDjVbyiTnzQvYOCeBS1kM
aGXR84rHnsrmDSz487J606nnFvtVb/fKnWD4aLu3WQD41dW+bqYg9gbfxN6EMdTAwAZhZbgtBH1m
rWXxUE4XB0egZFU1rCn1VzQ9EVhr0UXO3jHDA3OKb77KzR7ceeKCJj+Z4L2f34Hc77wmeLcLM/sB
eikOxRRZ10y1eY7cQj8qoprqoxTrt2kGxsYIJkJDY8K46grO3ztX3uV4vo+k1+Qw99RcaJdHKCdy
ewPfcuJFaH+hYx5w+q+MSUHKpPCi5Y7JFZhraeppD8fOy6SnFD1rcctm8wGKlx6IERG61YBDX/3f
OvdjtEOwEf2Xda7eDsf7k3UOP/X7OrcF06Fwor8nJ6Cc+Wmwg8XPC7YTD3+dCiOhAaffMZS/mLv8
hsX+a5nDvoXaG55aREaHCN35G6MdrLNYxn6haWCXjEBlAL6FCRnRIL8uc6bx18pfcnshij2BnXyk
8OvXnr1WcyPjafQg7RK4zlzvIJdFpnVV5ej8gynp5yGPSdu0cbhMQwofygPx1jUpmtCNJ68PYru6
1560cJtG+Ls0jPyZko17jARYiKZQj12oZbxqw2PXzLdOSwzYE9kk0zo6iTP7eRr2AD7USJ2466f2
juj6KcTE+DYcV32WlPaxCSjGAjleMarCvWcx0eXAIpKgKCDddvqp0BzjXgdYKYGg1UIfzHkvMlvB
rBJ69Qcsjc+wgzmxov7BMOfRWSsAOq29XTfnx+qLLxiNybj1hyXpzJTp7ijdsyvYtxHHpbOkj8TB
mFykE9S+uF0HiJJLpVKt5iqlq22yZpHvqNObeO67b0M/3UAfm+KI4IK6EbEOHb9fgKvGi86c9Tz0
7s3s8TdfBpBkpBdHi0/SKPTPnejuy3qeY2/kMHbP7gWUqYKGPWQuJ7glLMTQRwh7DDe2BFTqAxWT
d42c4utM9dVqDo+HYiop3cLd0dagJw5H6CwBtrImN32mqk6meTVB5iD8DCbmuAxABzFISiXXD3Nl
seSsg5u1DK5UbsEHBBHsguh520y0/fgoesKS3I1ehGMkplbNviXyxlbhkxet764j9L5eqrjHsifH
IkoNLaq4gU0sbrwGU7Jxm821N8zFtaxdu49YjdY8dzW5b7xeP/K8xQd3FtsBSlKv+1qaCbOP0bnH
A/4emdLEnRT6pqjc164dbzvY3FKHe/BtT+xjnoaPMVyWne3nJm4tzw9wnn2p8YrGBr9KUgEi2EHC
ePSpsKeak5tRys/NGp3W1sV43BR7MzkIeFiQhUE42fUC8Kyp8gnCkL3r5YrXZ3wqRP6lLUJ+0Axe
P+nUj+g6t6CO4aVl4bFqe3HgPiSQBZqIWYJ6x60+BsL/1BWkuBn7jXaS6yP+zuncQkCC9ccYEGlB
l/yweY1Q+ndutN08wGEJCfIgdXPvxRrZJeM6AAeyWt9YOsxQesMQQheEOGVVn6yzNa+CgIPSRdHd
y8CP4om16awXd8eH+hlwrYxFX8BZI93YUlPiBjU6y5Uc4PKpSrztPT3a0hQYfgVF2tHhSFZOji2H
qOTmah/gd8Hski0xAmX6mMMdYmW/xqYFd923B+kEqTRrDxdmD/RDOS7eNK9P4AKb48UrQnBsIGo9
Fz4+/Ivj+fdSRLGx4yd3lie/G24MAwvsdY9jCO58tfUe/F0V6zpfY125d+M8YNbla3RExX3tDddK
TM+8mm9tvb7a3MN+ixSCuDbyGU7dG28mB5B9Tz36baS4aBITY1gcQdmrgFWFpDO7euEWTO18m3fs
Wmk0D/PkQqRubugw6Hixw3fPz99K4V5gh76De/u+lSFqtNF+yXMfYme1vqoC1YXXcp7BqvZm6xAW
liUHMkKbJ1MghQZ0YzYqPDVQe5fqmQ3SP5TQ79k+4j7NCgOjqV+a37SE/7UqW2fxn7fwf54J+Se7
OH7w5118C8QCi8XAYaC5+NcuTsDLAkcF8xpgw94ahd/xDP4PfzuqGEGXYDt+7VZwLD1SyLGNb8eS
b+TX39rG2a897datMOQsgrEFTUYBgv+hf9aCj6MaubkQosShEfm+ECiWOzadhnBcQCBRe54HavaM
rHiQ5uFeSw+xCLr+0sGGkFrHHvCi+FnEuiURUwDd2CvaBIPWFcvXRKGIcwccd7BC5J7r+1ZELwUG
O8nYMZbMZD3B3XnufO/ATQRTn1Ps26V5ybkwydry27VbUOeaajwMqr8RtWxhK/NvVl5uklV4G1Dv
k/BBTfUlx1QkrFLdlSgfuncKZhwmOvE81n4TTwhbgL0YzEI1rreBDl/mHC5USKKvkTIvwTyeoso9
T6F6cvz6tudTk8Bw+El3YNEdF8bxfDqFq/egMRDD2PMzLedEwIqCSiVES9ecm9C8UsAurKhlXPjz
fpyxiuCheO8V3n89A1V1wj4rwUEgQwjjYtbNAZzV7ZJxrodsHMcF2QEQM6YZEK9gB1NgfIGt527a
PDJindy9X/U7GbTYUUfo/hWcCA5d71kefKV981QNyw6uuTpmQt/PXrBbihpQMOasiKO6D4bwU9Hm
wGO95TUo0V2Vk9+kKPGqROnS7Fi52FQDYEWG1bWbdYgJnbqZXfVRrDVMjD39FBSdC9MlzZPARBc5
hvRO5eFh5uKxvcNoIEAZg8CCU7BImcDbsivDEc1SC4Nhv8qsZ/247wb+WgQB+tNWgwI25R6tMYKf
avO1CgOTyh4NCpCgneKwDxKRLf1yKBdAavBLfOk69hH69GMyRBxE691t1st5BEq8wMGQyUV5z8yv
4DJfQD+EeZkY3d7UfnBUvgs/c7HruMAeCKt7tswzTagIlj3/0Uppf+izaXSuZTN9i9Zq6hKfgLIg
KCjW1rNADtsbz2kpvB/NIQq2jYzC8KR5yFPP4we61Smmm99hwsa8FwM6W2dk4xnx6G5D+RfDRpYU
W8XTem6LabyYsyocwEvCaJi4W43UK9S9zFcPEUZlAc1ZjKiQo46Ccz5aN663WksJifciVEPGURvv
2FaTYZZAds5WpxG4OU8LSjd4Wr6yrZbrUdQBowbHDmv9sbG4lqKf4FZdsTV7KCagCV+MwZsit0oR
EOR9jtKxqAlJm62aDFBWKh289SgzrbmWngdwAxUo53V+nANzN4OvikdUqRE13zyrUCahfq29usnC
ylapMztV2mxl7uRvxX3ri7RYnT2qELm+0a0u7s5SglOeIK7BfdPmeAzGOn8HLD/GdGlv863E1qi1
ZwyZNPRyQKbFsyOqD4wEaUy1wbONSt1G0FG20j2CLQGWVPWEiI7v0VbfixnPHdtKfqNF5s1rC9sY
6olRtPrs0Nm/ddEsOGXd3oH3crZQCsyTozVP5627GPLcJKJDx1FM4+3YVRyVMLoRFZWPRYen2feE
e8RMrsBMEXccRnjEySzr1eRNAOIVRiFbjytYEOeBtd2QEnxSXKywMjlbdwTsMt8BBZKpaXvvUGy+
A/RSFXIjIDa013qb3KLdIjl5yrfd3KXjTb7t72xd5zK2puvkpZnd7rWKfDtlAfh3mdhh49RGcJr9
iJkoCtVcg9ot7WceicL7bZTxv5qAYJP+zzUBIiT6jz+pB/BD/6wHXHT1iNHE+AhjAxr83NVT/BGa
abixQtiwYHf5vR7A6W5o6DEJ3LZqtO6bpfX3th55qwi1AaENBf+3UMa/09b/0Mt/beu3wRBSxbYi
w0Mu0a9t/djMFlkeBbvY2SMo+MfjtHht6krGIAC1O4QoDmiplxcQFiy1wvvaMX7uUW+m/mbXlzN4
4r4rTj1W51gTgDmSdDHAjSGd7XiH4EObelGHzDszfFki/bkosbzX6qHy5F4v/Q1sRA9tg/VPtiC7
ooZagEP0rGukYQgn/GSryCQKkwUY6fNPq5EvPlJC0IOtAPzm+uILdnGnIItacxOq9lj5KzuuIyxm
Q0V5MhbzHolicF023wGcPwyT8G806h5E3X3hcO1Edn2egagjhhBvLkMiRxx4tU5Zkydkhv4aNsXz
5A5vFV7MBPaYAx2MjhsbQpEsGPyd6MFAPrG7qm5vQBuCWIFXpB1BAMyOQRel+KWsO6gVor1If2xu
5rqH+72EEhDWpoLBvxNJBLDpzgaGAC8cwGa23vqdwxlzN3rh17XEl4t5f3Gl8NbHhe0+wB1Et9Ko
ox85aAxoswCstPxiyxlWnHDCXUNJFneiF0lVz8DBBCZkaNOCfTlCKQ46RBN4cyiuRDB3vzYwmrQC
wZS1Zlgvp8nEZQ1jDVmUPDA2q8wBoLaXxZaRtSLxKZhRvKH1OdR57qbuvEDA9Gy5A9+X77yJqayr
exhiDaszzeQZXNNp7eWl0u6xX8SaljX/jgl6EMuw9jLHlixdhkVmbh4u+wq4R0ZkwfFFuJi6dG20
7yVWcjl3wz6i4MVq0SH0CokiDxA5+X5o/CKDZRhgMMnzFGUuiy1jzlVhwBvXK660nQMADCiOd1w4
fSKXiceLEU3mIKcEwQNVeQP0ddoLWjwt1N4PA9FZ4fAlNn2Dkx7Bg5RFgGwc+IlumgjtmYBbCYji
9hWVVL9N1pefNEJZYltE+rAMCLKjszCxyrV78TmUpqJZc0AUMPOwzhkOfIIUW0wehLFwKL/Buwz3
kQzzbBS1cyC93A2+yvJco/NGPENcgx6OAXnXMYQKuKiRaJp2Ta2SAPzzdXXnq5yHh2DzFFkqga8q
qu4Q69QfkPzxvdfrF0C/xa5v3AFbmOpuS6Q4JGxjZ7s2OAbLlJ8DJxz3PNfeA3WG5zIyvZOSfpjR
K9DZdeNyaL5O+K2AKAJDK6SKLS/avVMuT64DGGcuRJCQMbrRNQ3ggV3cOBoH+C/sAt85lD9E6mSl
1g5IRnIoGfs0ouVP4Px4qlt5E0p9P4U2cZzw1vpveUhPgwnGV0hlH1PQn2fPcWIN9Tvl0zCdB2zH
hygC4Vd2GDSIipwpPq1oitM4et9bJN6gyFK3ZCJuPEbh88oRWFbKlWNYUH+zIVLMEHJ0NHK5IuLx
PPglEraKkaW65mZflS5SXcbCT+fFAJMroZB0+N+1xRAmtMzfLQtuoQtOYHDEo5rzN2KGz42H5YGT
ZkzDqjuVk/s+V6D4bMUQkGWN2MFuCPcJQ8qb12WjtBvxiTJe2fHW8ullAOGfho53H80hj00d6iP3
ffyfPUFdUCnApb05wVh2QDiGTkaY4CUx7aWM+iWWCECKnTlK+7n7sHlQxf5YpsinCj7D8FH7mdHz
rab9V+OFRz34r8jE8I8l7IayW78gyQt5VWY+4KLVrqDI2KrdNVVBeFdIrDKRcaBtTEkVOQZIkntw
2uCwTG0qgSfHTjldEfh7VtRC3SvVlx7wd6jZnSuaveO1e4GcKtzTZFYu/tt/LxBHm9hy+G7L8B7B
d30GxO3Y114BG7xKHK+6IlvIwV4wJIotp6JX1zpyUrcsnhTCEotAA7ZVOh3q8kmVfYJgly7WuQ3j
GrkIObLTyo3WRVitjWgC5fsjH/SClpc7y95yajm00kolItAPpOy67EdJ8L/aiIBg+M+1EULoBvv+
J8URfuqn4gjBHQRGEWR/YtFCBfTPkQfOPeU+AayCWcMPT9vvxRFO7sJQC3+EeYTPCYSRfxVHmPpi
EItJPWI/tnlI9HfEErrZlP8w80DaCE4K+hEggoPOtz//CZlADoBAwFPuXaq1CZfjGpgaacYF6/ML
woNYXaPYcSjIo+05HYrHxRNeXME8hZZ6ILGbByXo1bbKhqj3UuvX5ECmCuvWzFCdjObdXVaRYMF5
X1uQezVD2CcI4ZOqBbKbcnkvWyTmiLzPmtp68ciR2sOXFWtmhKoKU90cwXbVGE9OPWZF1yvg2P0J
3EUUu2H5MrrBtWQg2xUSj82c6nHdly0G1COpAcNLc12hdMKlekRzCNxVGThoesC+EXKEsJqu75Hs
rkHQEpzvSwNInPSekl7dDt5qdojq0inNlUFKXvud5eJ9kBgi106Y9csHBA0/Xfw2Gx0mUgVge6be
S6MFxHAoLQfPIhsRqhPSsBu3iJmBCAU6vkvccT6xtZQZ7daPgee7wYwnN5r2bghjXWP2ltmsQ5gf
drcROwncHKANP3q82tUERTciMSpV+HpguPER8TeIHN63sEc4Q/nEt3VCqeaAmOhsNvJJYSHpe31t
OnIqsMAgGwgJU359HXFLh20NInPZ6X3vuHzHg+bG9esv2hYYjIT5GXvcGXlvOvGwvwc3EPK6qzuj
/nmTnRI0s8wIfXXWfmn2tYs1R5CKvMLLF5k4GKuv1GfYLLsJIUzD18gWu5BGArQp/rgcpg9UPjaR
do7iGnaQfinuPJ3zDKrasmv74vvkYKGTfPmMDPWnfp2v7ui+IRX0Br6cz+UooyRAinYWCu9bSeeb
iYjlTRVtFcOyhBxOENJ8hGPYJ1DZ/e6KMKxD2HHnPITt01LismDAxMhM8Es+AwvGNBiqtZ8OBehz
vwqirA8WcljD7640HqLd+uexR64XPDo0VciZqwQiLnynRGwkAjgb1wdrMHaJY4qvomrXRA3LukNy
dYNKTOypYz8jDeZg8NokmmuwrwtGPaHd7PUgDJCIfpwnL8dIx7lfcue168lN0IBRl1R+8vNCIKUP
QSs2xygBsZ9IpTqosAoxJAKui844BjuEjDQOsj2ovtsCBpPaex8tCh6FMUa1yDsMd04NgwUFUtdJ
I/AwpoyNicQMoCtg+5b9OO3bGWFWgIrdmEbqXQMeX+GBqJV/JFZ8ZhVrHlcngPRXcER9Uv9T6BSP
MyaTJJpe28Irj00RHdcZBhXBm1Nu7GuA2goRuY8ObDYF4xcnQgg9CT4ab72r680vgWdzDZY1bVw9
pMgLfRhH1CaIWBNDue9kEWXVHOkYb0/wZkd7LKgcHnIOIhdI9Q71/ykAbP6/re235Klt+v2ft7bb
965szJ9tbtvP/b65gVtCmDKFnTsAc4dX8KfNjfwDqSuwzoQAhrDF/bPxx7kK0OVhQPkJAvi98Q8R
nIH2BYeBM0B8m5Lwdxp/99/2NpCa8JMDomOIx8K5xL/ubbJzKhqutLjUZPXy24L2/tvskoIf/U5r
cW+cCaL70AZvQYGI10PkaKwc0+xMnxEBZ5+jwjOPUVT6ayLZMEFK1mH/Yhk2JSQRqjALCgkZuHSe
Z8ogi4kVvD+lFWw2ASREvR8w/BrG4Emo5X0S6zvyYlGWzw+B5YgAhamNqrq80AXjbmQkIZs0Twen
QxiuhEvHYpcS3WiT/8feeS1HbmVZ9FfmB9ABb17h0jLp7QuCZFXBe4+vnwVKarGoEjmKedVDR3RE
NwuZSODec8/Ze+1QnJ/TuhmcemQd7RnF2q1EfT8vZgYe1PSzAnOLUFBEaz18wLBpwIkH2yrXr9RB
u8oxG7kpMOI5mE6L2eBUGKTnuqivK0V+iswEs0uAh4EhAP14eVk2ZmxxPhhKnIGqdpXoxpF9+UHO
U5x4RXbMG8ryKO3tOpDpELdoHFTG8TZcQ9OplvRqqKtbDvfVmQIIHFGDygR9Xe2aHNDgqA6Mh/HK
M6KfwJ8XYXYsIEUsRvWg6PXgtJJYub3YfF/aZgb8ybncbPtt1iYb0cq3UoqM3UALPwuWo6pkCaBe
YwulCRBhHORDSXREB5NBYcF/U5l92oVV3hVR+s2w0ktTjVyzyl6hcN/o5epP7xL1GGjBLq7WHnkN
4lUzIvZJ5Foh+QXhatstM/WK9v4NZgPGwZrxTS+LwwJbrJrBGaWiicah4NxUDeugP5wO0JAQIY+D
TU92k8XCZMurqZWj6TohuEv0NnN1XHq+NMWeXmEk0GiVCmOAsVQ0fbU2hlPPwAj9RGt2dqPuulRn
HL1K2Zq0v1yGQbc1JToVS5/iURIVN5n7W2RQL8GARYyZRk/jVvTZ7+5BITwYQejIjfRM5cX8Zf0Y
4nAlzMQ5BMt5lsYMs2XfCi54WMuTOvTHzEovsGU+xYga/CJdEG9PjM1x43U7sZoPnc5jJ2nJsWRm
ZtL9Afpi3gNmFmz4k7Ej0ThzhCb2sVictCo/V6zmAK/pYmjRtHbrvhwaqi8o9RPHXTfS5NucYzMb
k7GvBv18Xp2+hd4fBCvww6EuXVRfN2ZivOjCdEZkyXdwVzdtZ+zAPByTIZV2YmSg7IMnjjaB34G5
0zfUbrxiS4hvcsp6DBD6OV8eY/AYPdSNRl6HmJ/LgXRRkzRSW+mLILD/ltRYRpTSKlLyi64vzWOh
RAcj74r7SIc0kM1YKHCKZgch68H2rn7cgGGpY+QQxQKcV92cXUpYHTOhRK9N2WRHlrq1zOWYFd1Z
LzGd6tVHuKHPnQKJU+Oio3yZ4M3KAoujfXfeZuIGzvpWgajpxwE1qaardqHiMZtTbC8y3UMWWnxN
0R7OsnKIpQZdy5SijZuwx7BAFLSQZGVxLavutlJi3vd5wVSkhO9p1zE5JnUmdpu85dOHRYn1e1Ll
Cxiye4Gm0ynixQIlHmvnBQYuDtgNP05nTPdLXYRXjSRlh0RNtE3HLfDGTMi2EiYnu6okg7ZRGyCW
GvQu2naCIjD7irj0XImSLyRoE/49gYorT0Fk5/z7bZopX/cWMdt2vzqH8rd/bNUQWTQFpiKTeQlm
lPl+aC//B+AKG/Wfnfg/h/b4AbACaOh/wVm9P4ca/6GrrmlgVH7T5f2zc+g6dPhwDrVW9d3aqV/t
Qauo4P051MqNxSqQ9pxnQ8w26TR1Ke6BIKn7gn44lnA9v52TkBbSJBzNgglYouUcCxPsaYXAQbRL
bqawO6TmdD2I03EOkKlVvKs2xFXQufGyt+LubsxBDebKTot1BmZBaderKnaaqLJ73ZmQKscLE7+c
NignY4sJszVtGOr/UMywc8Y3MAgMSAc8q+w1KVbAxYRflyQmByS6SJxwHmcdBUubqbNHoyp3xaa6
UXU0SGovyEy3Q0epFtGZx85WQ7a7pgjuMyKDOllHU9diJ4nHF501PQnq3NUk4xXdTOwMevyg11Nr
64a+UyaTMp8+KozvBz1UN6ZRLSvKwI84OthKm29lfdBwUprbdgJmM6s0vGiKv8xl8JJ307lYQklg
7v6IOTB2cjXdpOm0o3uLgXUaG7cZ6HyZYfUtFFX6glLxUJUslhwcFDfou+96IC+nNp2f40oLDpzv
CRnQ5NymL+oJhSldyQwPXCKcMJxjnUKsNOELH9ODpNUDAzqUEjTgms4nKsFZVCNe7Yqln82K6GQQ
6z0zYk4YWgt6ZLloz8BQTG7K2QqTeFy5QYYLpmOuhNAsjejbg9GfxTjwCrGND8yos41pjd21rA3L
HRLKyC1F0NMpa+oZAjM06mOaPpYNYie6nfoDE+38CqJmfRHh+NyZUjMdawsuxzBn5V7WmWpiIFOT
I7yuaiWjT/jhF/aAJReDlwmmhQnKV6h3hSxepqUleVE0VrfizI3fBKasPwmJFf5QTWbb+Qq/Gbu5
96CdOXOOZrNdETnDCstpG5jj0HM6DkITNJ0aqk4LXUdswewIdX9qVvBOsCJ4DJH9t1+xPMYK6AF9
dVJXZE+dixAUVogPdnmQ+iHebwA/xYr60Vfoz6KmkluuICAjBwlUvtGB5PgaQ/GKCwIcVK4IIeYT
w50FmH+n0whjcwc1JJhAh3B//phWDFFeJe5kAib6dzH/bTFn9Pj3i7n7PfufE4/89190FPnD/67k
yn946RFSSb/jtd4dulQmp3h56DP+bvv4o6O4xi4RE6aJAHJIoZUVWpS/n7rIpVVMVM+s5LqyHtf+
EVuLLeandVzFIsJcF/oXWC0V0+LP63gXkI6WLYV8UdBdF9P4aIT45YfZe3dnLn6b3r6nEctvjck/
p7p8E5ndgi0LrRmJOtpHlRdZGynDpnS80DS6Jh1od9XTlp70MdjXpRym5AwYtNC78tya+2OdVreG
3ECiR+zqjCRWeGkjpYeh0SyXd4jYmbnDVq1Vq2WleRjbqnJyM6JsW6ekUZtdV1zQkavsAkMjbQgD
/I5Zy5AMILRj787XCZx5qPPJsZgPO4XUUnhpOpPFtPADffAhOXZuj2nEbdOJto96L5gGnvbesvma
D+AFSgd91TX6jishn06CgFc7FvFLj0wdSGrawW4/jUEOnNaSbmmtZLYYDoMrr42bfuguQcD7o9rf
W2bzXQ6NpzCfOcoixkh7g67gHF9oTXDAtB/7mIe2uhU0mzZq+IWa5rbUw21sqqGTRdGBqMQXKEKp
P+ScxvQBk0lWTpUrwDS1QSCxTXTLk5Tn6+qdnKsmC/OcEe5QKW6tp0+9Id02bXhWTnlvl9J8ZdT9
hmpii7CJ8wHrLR9UAcxAtI4Tydq1MANQzrvadAzryeoQGIEL7mt2qbZXCf5jVmTSFuf3g6th9D/M
GamXqGtnkBhpSxWMs2uauxJQXHkkHGCmmzxGEqcPKbuAxZ/4ijJuFoLlsMKHdiepG2vg3kYjNEhB
1wa4R9YTJciWwf9VWSyzqyztHWfnxQlbSn6ly67bsd/BcR7cRhFfRaIg7XCc77I41jaTspzLE0rl
NkoGEPLNNymTv8lgTZx0krZlZu2wMkh0cMcNc//LnJAd+JH60VCWwtGz4nVJqofIaCMn18sbeqeJ
yyEw3Y49BA9jdGQl8BnrQYjnEUM9rY6RJ01R/VxAQWn8xRTgqGj6BM5YnMDIAO9tyCRQRyzyojH6
kjmuM7yGKL1MQ7o7S44YIOtRlW+jaO3Ao/jDgsqLHK9quEs1ZZ00jpJI4R+vLdFJimH6yDsFmZLE
0L5bNWxm/cwE4EpKhe+mxc9U09UreRqZLQ/UY22HVHt0y5GzmZBrTMnH4Wg2NNQxZ/Pvpoz12iFe
uXXjo54YrTeF1VkYiwH+1ompwxrJgCs/wRHVtdtx7B5IHKLVYiXOkIgkV5Rnqc4rqxTpBX3IQyYI
uyVDFBCFUeQt04x8A1KCPpIjlIx0OqZeuiIjZTOV3feU2QCQXiatevUwNh5+il2kNoRlCFvoVc9T
Ij4tGrhzkJQt9sinTL0expaZd7+vSiifUBASSFeyj56M0x0wKpKRRo5sgwy2WYrocS/VsFGMpPNF
CdVFOKhPazcEysXoBgKNGnWsNr1UnM8lTacyYfo+q3ckvZlnYEbV+mYtj0JTbYJtKedYjL9YRn+2
vKyrKNvF2rlDq8uUimnST2U39FZFBfgwX4yAoW11E+yn6/Jsl8DaeS7uKy/dMeG0gwP9695NNsru
8+uv0pufF3EubxnsO0hgNOa9P1++CXptEPR+uRiM5yrYWWJnW9OTUH5Flf/VdWRRQouEd1dloPbz
dayOPSsmGuNCio/E0tlZ9t0Kd6AIfzuGkk3wf4Hk/3Y7uZ/sgdANDDwWP1+nRkCp9VIkXujaodGx
2yGpU+8/v2fqr36z91/mw0X6SBRbGSPexeC3d5g0vGErfjPpadnlGRGpoX3VeDTjfHl7ezLdzD4N
Z7F/13qBd5nsR3tLcX/sXP6PbunzH+/u888nf3DHvz1Tqiyi+NIAC5AM+fNNyIj3YhAkSheIm07B
peiJZ9J9uCcRC6mhO9v7R2kzOafaH7ea5uQHRmOXqD58zJPO20f5dy69PhN/X0hePxdkJNvPzcvz
rzIn1j/+o5ikg7/a7phMq0TTk6PzrpgU/6Mb/IwsDPIKZKWS+6MtoP2HHgKBEJzVgYSJKwPxjxa+
AvhV1kVTUSjOKDPVf9LCpyh9tzysrEVNZoUiElSGSoDp/ucnSYnQ2nCEVk9R/rS0p2l6fHdbflFF
qm8jgD8XoPUK+BFZehRyC3lUP1aRPSQ6MEhTf4IG5ckkKMwkKWRBcqU13Q/CcdwmaaAlqTiCJKHY
4ZLekqGDagN2ib5mNJTgAwuj2QqENyTIsMml/SZApWNwhsymmZx2jXtYouycySUJEMrQ1cp5mK/J
EBObdMhNpH1Y57OvlPNC20HUdlPUBj9GTTxTFJJjXApTqBlqnH2r5fUQS0qVp7YylgYxFB4S/Hyu
laqvfTRB/5eM0FFJzVgHyiXiLfPcqAzBy8zmwYK05wFOWN1l6niRYNhBDFh2vtQwvgA+STUcP6Wy
fKQfRM8wn+EPEkiRFeW2KLqFkOUagW62YXh9RqtAAZtdPAniiNdanX7kqXDe4cxCDLwsfq+abkhb
20hyGqXVTqG6SkWBrLp+31ViCWd3vpxSc58sU4ENoKFUT/e1YTwHEgMCFMrbkMl1n8bPHeY9FMnQ
dDVzi0b8XCBoUcPSGwXyY0sQkNUbBB9rR7WAP9TIw1lGz1PPFZzG9Vafa9oPqnWXxAsCyzS7aAIU
ie2CoDMWH6ta7pxZSFDAqzddJoHsXpTURv93jbAAHkI7odIx492cwRHTEk2jraxvxDpu8VtS6KqW
N1Lu81usg8gOThmGuwkziKUO92qpOMDzTnqrP7bdcp7GjBHyoLCJl9wY6nAWjc2unEfis5N7IGkh
6rdxmw3jMZKza0ATUB+T7J4OyB2awXs96P2yYQy/aEQFNk+62iFY7wBhKe1jyZeXZ9Bswrx8SxlP
zUwxmkAjLmQ6VmNiMnhAm6DOBf+oiRpLNRhw6MYTb4GfxMljGKD6n1oEeULf89jUP+Yy2ZodmHGl
esK+/SgIALAMusVpkLjDZDmilr0saXCZIp/CVRceU2JrN+igUlsVjJuIRLm66iMnjEMsFHn+Ykkc
zwRQ5p654F01p7bYx7hHXKGC1Knp14mlPvRVSxSizEQB7QNvTzJeixIUo74ybblGhqXVlLmCpF1N
ZLM4/dxnh4ED4eoDaD0rq1DWw0T1xlY/hfTVvFjT70Qd9JNVB+YLSXloSeiIou2q9J73G+dp6+Sz
wFw9iYcYSW+sH+sK2JbFrbCVtEIyIawIvKyMXBx5TAB6QfS6BcsBUbIcGEwda1/eM1xHPWlGs2x3
gNo6Wm1YOVskaJNqSwq1qyTX7RaiQ+KFcX/USX4n9qQqNhKc92BaLKpWWbJ7Nau8slsdEHmcnRsY
5ZkYCC1zH75xEFSv2jLfNYHybKTQkBXpLImk3LEkJilzJhyDFBOnlEkaYh1tYiZS5tel1gu8qkaQ
3fdpcTUOKNzQc5+rWPlZWZwmUV0E2fiXq+Jg1AYLIlwCIsZQu6HpqxhTskbtiSjZEneHYxWz4tId
s0TYRFp0Bn7yPmVMqfTifrTwPRZT+qQmUOZaJGujGegHqRMnO1Bj46UaaYYuaIIIo6rH/CaV8tEf
gBUqBmNHsq9MB0Jq6i1x3JwtZnpS5GqbcrqQaqClq0yVgyWQrVFzWfJ2MiNZUFp6s8vm4VYXqptc
zlG32H1GUE4febRbc4s1p0cjopcU4Z3A+iv8qNtIRJOLc5jLqehMdfW8VDJ8X3NqDFuC6YdNoebz
hqU/ug9qriD32U2Rg+Oh2LT2/dwk+ywJTwU1NjlkirlDlB0x9jNutJp4HBu6GEF5clvThQ0CH5Hq
jR7MN2ahLetphoN1X7a+xrDYNoBVdmSsbyoRimw518jC+UO7GbT+oYkz01/bbchKYhSGSHe6rToU
/MRj5StM4Nw5Lx/1odpBcPQnY/b6FhfcbOzTer4Vo8QbYgKTyiq67TMZpVBtHcgXG3alkDRuGWT0
tXuiXitRfMSpp7jKpNYPvV7BSCwZAKURD7qBNBYEuPIgT1Z3HcjahE2WSWzSi181eX7uJTG8JwRc
X8cV+LmhLq8WgfczATnPddruSUGkKNjMadkxIb0cm9b/vAqQf32dlbhjAAv7axFAci9iqag45Vl2
1uryLasSFMn8ieWyscfZ4geYs+0wVZi30m0rR8eIoAVTLg6sVEctaO2EwXIUoEquRU+JUAdYHWa3
4HvZ6xzEeQXUxTzp4leZM7/85Jyd8Fio5B2/TVXeqfe0vC9hk6cE80JaCecbMSHJtPwC4vWWIvJn
kcTvgH2DjuJKlOEe8aD//Du0fVrNeUp2OdmlLb0SdacQ5QHpuGbfGAbNC4ThgVTt8rKweAYtcTea
4wo0qVioFPFySXI/wpN12UeKdV2wKyF4g9IqQcDDr+5oMuGGWhmeYoRUU6Bxz2XeGz2HUzJbBEHB
/n1OO/K1Mkiry8iotZV0L8ri1Es75VVoZJ8spVU7CyJ0Bg7llDVUZxpbNlsRpU2k7+pF/h6rHOoN
ze7xv9mTkZ1B3oXWTyr4VpTG5EyMYIYtE4E8odTFHOkTAw1ueBf0Un5Tj3i7LCk8avnqxmJkv9Vp
0AMsdOoVLTgTLe9VonzOHK3AWIUBQVKyYyA+90yINGPHuvhoCvB+jVHazon6mGH094qqWOwKlZsC
k39RKT3A/acuZNjSnYR823S5hjh52jOuf06Zjb3SZtuIOrMhI4sICFoyW2lrH5Insy55usp1PTtZ
iP0lfZkOtdH+FvT3t2dc6ZfPAy+kyeNgihJqnZ+fh0AhGJb/rTtx3H5WrDZ36XJkJ12oWygC0VPY
anjPaWRJ+uSacQa6SkGcbvBFgyg1tihYzjpiW8dFPtNK80FRi8hvc632cSOQYqLhxwnjNEcNOkCL
LVWmWWzq7kiyKtxYgXqEhQjKM54UDeZjjmsV6ipKk/VE30HhKKraJ175tQFDQ/NYcwapZECVY/WU
Z2rnOXSVTnJ1ch0YWyHxb0b9ITH1HbFY33RjAsIwsgygFtSL6SawkqOBqq+GWaRrM09IZfezfK0N
w1maRNd1jMjGsDb63D2YaYpxBA6vp9cwVqN68Np+JENuTZlRElwGsItcSReeBZ4Jp7KUR0kRHqRo
INupo30UGSJ9OOQiwlR6ktpsRDHZMRr1ZKg47EaumuK8NE2MuzgmR2lo2eYR/WXdDVLTk2VOmA3n
Z2UUX2uleS4M3dNmPmdfuOmQnpfRdDQK3R/JvIsMXKBxYTiyFV+mlZDuwI55BMZ6ehagcXwjioSc
S3gZB8G6JMPiR2wIAI1m0VH7xO+6PnX0lpxThqOSBC69VTaxUvMrrSF0arg4wE8qus/RUYAen0rj
fUnMGyjyC2i6dhhBrEyFQ84uHo1AIKTscahQJRAsjJBJdSWJXTMLRli1cH6aHF2QUOMTTYUNrpDD
QrSYYZEiOkp08lqRRXeRJT+RUEKN5gW6+G1YdIdwrI+FqVH1dhnJyRXa3Dkz9mo4HqqVeq6VQK2V
CsHOiLUmqsYzoeWUkOnIvsh4pnXOaJWWDpbPkTrmlE++TsyfuiVt4r4S8VPm4pmuIavHKXZMohEA
bxAwFZUHXNSEKjpGEhSbcUDbSN2wBRjRujQYt81AFWKUSJgMYnHwc0lfbG3rm/hx5X73piof+mty
ZM2JVaWEH7PvD+1ZTurgNORMOM7T5kzixPL5Vvqh9fO2U7y/3ofpjxxFBacLVoay/C4Z34bpapUP
hw+juv38Qtq653z8ZojPUNWjLjTQ5P68Bo1tN9TwqBG0STP+2BgYbBzIN1obEiFcCjxzmN+rioyr
klbdmblqYvUEW8eSEEgw8u+iMxN+qKJ5ORWKaQ9Kf8cU+Zwsh2uCDbHIJk7Xytf0sFGVd6Gfd/ET
mIB7Icqqq7BPB0+LiNTOtf6gYUWhsPBmCe4MJd6mAD5zb8nWdQXLmU7Kvle6HYqBwxLOO42seDBZ
h4ZtmxjbQyojrqYJjZbWQUF8n1eNF2fBbqzwqmQTFh4tf17EWXOyMXysJ6sBToteHvNJ+MVd/bnf
8ttG//6mrm3Ud+UEsv4ibgJzOpnTU7S8zOYXiMmv/v0PG4coZNTIYTqfYvO6Siy7Vm6/eCw+fyr0
D89fruepmMrhfNLki5g+O7dJjObfuop/uwGud+Gvjx7EPUpSoKn6h0dvMloy1WH0n9DjYzDqxpya
5Ba/2xe/xhtx888LvbW/CENimkrzi9JU+nChOYkLVKMVKnNbemVTc28yP3AFb7Bj594u7PsduODj
yxXMs7vJe4Y/+sIb3W6/6tLLa5/tzw/y23Px7rX+iAa1htiq1hzRExg6V3REb7ruN/ll5Fue5WSN
L224zz4IBRvjpme51eCpp+L1i9/2V5/i/dO5Lj7vns4saFHcN9z3h2kne4bd+daFYZ8z54vczb3m
HHU331inyJ+2xbW2vQnccDNtWffsZVNaduvSOnMtF/H/tti055EdTfTA7xCYnJDjbLSdtSsP47a5
zf3rzz/6Ol3/yw18/9E/VNCC3MZZhXnwRBaaXfnt98qvbiS3duBLuZEbe2RB7cvNxevR63eaw4E9
2Se2tU9O8D2cwMPe9i1w7j7/VB94Z3953fUPu0Mcl0Nj6HyqaGfZkbNs801wA+wnxchs6zZJ7Q7Z
bxvzVG/lJxpp3ufXXx/fj0+VTgjiH+/Rh9WGpUaY22qeTuJSesY4HvBanoYeDMHn11lXlc+u82HV
MWNTGYaFYBlqaoTRr+K0HfWXWfFqxk1C5X9+tV//1P/9Vh87ykLO4q/VSX+KSP+bCXIIL/9/F1iV
dO9eA6RfhCWQzHNKtYOc0Ae0DPfzK3zxwxjri/juCjAmzAJq23wqq1OL6LuSH5be/OJX+eo+fVjc
Wgk998Bg9DStv8qCkn3657BeuAJ/PmDGhwesL5e2L1oUf+MwOTGJTenkLPnF5zfri6fL+LAq6UEo
zDTn2A0mHRxl4aVZd66A9ke37SSjfBqQW39+yV/+PpoFppA5C0KMD5ckHksJqrjrT2r+o0l8Il9o
8m0+v8Yvf5531/jw0mSh1QoYeaaTBiZFEC/z/IuuwlcX+LAkLhj2laSsh5PIok0zOlWyL27T2/74
2Yv/4TnGo25i3uM55mxAtnO4H7bpGUcEZ984kReeY/r9LUr3b0uDD+ypP5bU/779+vqt3706Ev0/
qZMj9qgHGsPknjhn2DXIU32WjstusC+gpPA/2JqXO5JtXgr2FZxBdvWLx/pC2XNqx4EFGsjeFk60
+erj/XIjf/dG6B+fnLjBIR7w0knn60Yu2NBg1V0hOXa6Ud37wt6L9nz4Ib5wOGtu58Noj1+sXqjJ
Pl+NP/zug9DqUY0i69S5g7u482LL2C4PmXtlnfSjsundR9kP7IKOrd9sqo3pCF+s0F99BOPDvicg
+VCLsepOwqG08aQC9fqm+ZJrHPrv05YE9KOxgWv7A6ebM23S89BNvn/+dr0dvD55NI0Pz0kKsAZ7
KI9m408+gG87Xqu6XerckLaz25EFYy+nLrfvkWe6uV9tjAtoF27vRTtMfk+/D8r//rldC+O/fJ4/
X/ePQgxTsJgNFSwptadudOy07uQv/nJEjGq/EvDmp465w9Jql8fJMW49k+qg8LpN6l/HjPRhHHpv
d+jf0f2qPfn70b2X/Y9bNpB0f6EB5Q/fje3JQoVVq6iUTz+r+UmfRn1BuS7r7BAmC/cfY3tm/bqh
MkgnToLR/Lp4/TG2X+l8Mgn0GmxU6G3iP3LeAfT96XHi5GLy7yAqElXQpIgHPuwedRhMmkBr6lxU
y7txRWkOTNAFVKu2kbTNhbCswE10bg+aWnWOpRGJ0xkCHp0c5E0rDMWeo3LPqBt5FRGL97C2DGbx
JhMKBtj+okKXyeOFgWwDBadT+9KrAwuLHGwTeFvLdb9CQ6mVIpT9xq0FTxRBWOHrC5MeA9YoWp5w
20Af7eLpPhjxsg5Jdd2UEQxXIba2khi+kpVyMyniAXTKqRQ5LWC0liDnJpI/a1JFj5BMHLKySCde
nBIqKpi2x6CT951OJHQEN1UkbsoPa52O9whKE57Mi45rYMtYkLntpM2+VU7f9VL/bphW4kJU6d0W
Tqs1KQ/EMRR78uFKmzHJszxEl9EKd+VjvlpFfp7SJqewNRxissvybsJf7KEa2qQSGG4N5jaADD8s
AUkEGLIWLf+uZ5I3rXzuMqs2KsRuoxmvRjpDWywAJGYNWkj897K4SSzoXi9M50Y0KnYMBTyGBj6s
WHBclm+igpIWK9DwBHo4w+qdondP+YoVrxUA4z2eimVFjpvifGdmdOouphYde0V+EPgP1GzWMRKq
H8uaDU1SZuK1Sa9i3wcyoi7ZtMljQIj4k6xdVc/RpZLKt6AwAK/O+PRlk7juMFUeFxG7XW5bVn/T
61l4wuRe7RcxbyyANum20kpvTMQrCQAcHVkToB0kQKx68d1KCKQVTU2rCFDJlJD+X6VXk6uVhG8K
QnkRJkGABRPLti7eGAJekjEBV9yjac70vdoX3GK8HUEy3Vda/M1Q8mMg0I0kiovNnp69bQj9s4qz
Cme18kiu2RPKWIavobGZLZVDIHGdshhe10bZulO/MO4mBbFeTJ+AMXdi8FBk6VEPjDOpJzvdnOfr
fCl+iGt+2tCbuk0jGkBKGmq0ZpNXGsoPmgyoJZqusqg7zoNwA3byqUPpxhiEVksvHBian0QluJ2K
5DCPOb9WIN+FOSb5qAlugsk4dAl3qJJD1VcqJKcpsTCFrD4GxngL75NAxZBgpklADWvE4kurWldj
wxm1anw5WGHTxnA+SuqVMvNd8iC+bFppR060Q5G+D8E89zotV0F7CefublUah4UG/Ek7j+JlqzRk
O4ox2oJ2ftB6guAJSM3tNKbNwjIHf78WMNishJpgGjDExM1D0+Z7xaK7rci7SFzu+gKa0sB00qmV
cVc1WuzwwMKVErIr4EsvlZJDakmZSCy6uZG7RPHAqZhe0JWth+0o90sLqIIKoTIhf3VXGJUztYCA
ZehS64rLKiWVXqoOFyXzGMQInej3ZNvh0cXDC2VA5BawJl0qs36W9Narpq9yG0O/lXX1TFHrhPE4
sKBhrrCkrEtcEy3Q/sVr2SpId4rwyVUtahdIX5akZdscsKKUdQxEyB0hJW2675fwWhLVFyMH9BDK
5hnx0sEmDAXBR3p/hfeugXKVSs4sGy8y4WqeVGRkBeiVNytMXfJYVlekgp8CpGm6JbhOakKe4ka6
KeIBZQpcjdcqEk56OQxMA1gj4vh+jIbzhmgusvV+LKhXvQ52KKQnEfJWXUlO3GoCSI52ye9zkGbh
2UIbzu70ofTwnh00s7mxVrJvszJ+l6V8KpfY8ip1UAjRXh6CAcavMbTE3wq1s/TNBXKnU4R/WgEi
PAETllaqsFI0+2yRvTRUCQrstEsgwme9JeCKWpnECXBiE0ixKOAualZusTYGhHAt/Y0C0jgOsJSB
OE5W1nHKtJNPszxYKwa5nu9ybbxEJXPB88BNAJicA05eNFxI3coMG0T83CtdeR17F+CWJb3di+CX
VXG6LWSsYqp2oYNnriy1wDnFW72Sm41MR1G90pwtHRNOvBKeC5HJCmusO8bVtgAC3aw0aCNvWXZ0
oh1WUrS2MqMBR1NZVcluWXnSQjruimQlTK+sabhy8g4aVOxaK4m6XJnUqdhAYwGAZocTCv+VXP1v
VfbmzFGpYP6+KruOCSkkIfyvRdn6d38UZTKh9yp6BeJYdEqiVfz7X9SPglvSwn+DagLh5Fp5/V6U
vRlzGEGusmTklG8yy9+LMhCJMBAZvwIvwOfyD+MNeM8/FmWqTA42HQNqP52Psp7M3p9Ng55JfqOX
F1MjGn4xqCPx9CoHDXXcomiiCzPP1DhAxOhfaOJBzAC6EHNppIT+iuVDjP36DN8PkClFqa+TXle3
SCfb05gG1bcKGOvGwL15jDJjNt6wcYw3BSqIXBKmixZU3nmdMPYWRB3JIcoRE3mARNhlERSAVCrr
mylEV/OUaeehJAl7OYwwbJgYPztz1h6zwWiuR1nrz7o2ghrfF2VtG70A9Vabyzum6+jvlVb+jswp
e9DErNiGWmu5+PXa5wGcEsn0ZgxmD9COkYyEaEZDdTmSnJf1JCOjUKvcgd1rOI8EKr/XElibepBI
SJsR5ZRpj0Kr64Xvamgl0QmzDuCYOmiLhjKpWsnsmDGuo8RiHMgYGmNopyzGeDJBiJEKHarRpBJv
Tc4iFPaB0tEFqp/FB10o8EzHfTa/JINc5548Wj4ytelRHzPlmSwEclmESS/8EC7ffu71+RoQ5fKs
kBlEwUGeHgNOPCyQ1q1NUA3hC09S7IjFsjwHbbR8J6j0oRFqvwjjvbCWG7mkD86oNdVWqEZUR6bU
QyNEdnRA9jAf09XnoyErmdBYlUIGUDmMmc93CvTbIafuTet7HJvZDtvqrZLW0bYS6hlsAbQDFnp0
EUmrX5uIKXad0P0ve+e1HLmxZdFfmR9IBbx5rUL5Iln0ZL8gmqaBhPcJ4OtnoRU9avW9uhOaeVWE
QqGWRBZZJs05+6zlP1Za7VyPfq0FubEM1hudXT6EmCM/cUD6b8JV4mhmHac5WJeJp4ug6QZQ00K0
I3Pldd0F6Jarb64o28NUhcUds3HtwdZm50s0624w+27yCPqaNn1iJVdUrpJX4pIl8gx3OrfpXL7O
/ShOvHmXSa1C3SRRE77g2FKPBRyjDSg4eS9wR17iIWN0i2QSPAfLornetkhZAQ3F3aYd7TaIMAG7
y8HF2RuD8emT77Ey8+iOyrzFAetFK6109M+qrOZtLbUW3Ge70AboP/6zFv8+Jcnq+Ndr8RacX/Hv
rsd81Y+VWMd/5XAJZayRWqi2FEj/ZyVmUaVjzA3YYbbeW/rKP67H7m/8Ga4aC/h3aA3f8Mf12IZZ
w+JM/Ik8OvMdfyvV7rp/roEtjT2m5n1cNy4KTCC3v9TA0hxe59iF7jXQqWPU1UNx1SljIm+QD1VV
BoXsgbAofO4Iz6PxCScqYqvSLwA+dkn8OprtfR7XUxBTQ1qrrt8xJhwwzsSAl1YYzPZmzqr0kzeW
ccmhyZabSZCkKGb7GiZvx7iZeC1VfgeB9ln1pZ7ediBg76GD7n01oqcBcEPYlHS6FNdpWHhY4Ica
2qmIXqeqiy9hGEvnEmeTe7ELj6iPBZjMXDnEUMrADnOteHBcgUiQM6Pig6OHLP6ijeVTz6VoQK2i
nlPDj+HtpuVexkkycR1qrlRiHVVv39mRNYFQLJ60OXvoLSCSZVy9Gwsg34l7JthnuW6WYLJuvsUF
8bFGWNdOb8C8H5/6WNprk8u5GEQgco5j0cKFtyqCjB4qXdynrkW2Jn4GQ+4xbpd+MSL7PvVYF5IK
ppuQH4bvPuS99alZCWSUnCfF9rpblyQwZysy8YrvvzLIOX+ZzIg7i5J7bWbUrV4mFvPMe6gz3diW
RYq/1Vyypomxj1GDFcPQBLmSBzMmc2/nsQvn053Rp6TFhjBKxiFuOpqVcRsafb6ezZjJbcvYlynz
eqig1dqfRuMwDSR7Ra99aKUfeH2L5BKCDcz1dpcX/leCNSfHd08tyJW19ICJmrN/T/B3WPtxux1D
8WH78zbTxgP+seuoAbtK/CSomtnZ08GiixxW37qSATdH4unuRf6uYn9kHL544S3dMd4wuHvi5ylQ
JPvW0vErd1553dmJ4A4fXjK/u8U9z4BnrN+FFbpkgEnxShsbew0guF3zfgP5Ur70CWiUMuqOHa9g
1/Zbu47lbrTJzDpaXW6gBx3yYboZa/tZb7trv5MPCdvxmrX1KY/iu9iKZVBpbM+RIw4coM3VEDd3
kxs+cJS5nWsySiTHqmDSVbTypcQU3ISXPpxJAYUCloJ4b2oRB5pVpbvJ5sIw636GJgJuAicI2Aoa
SSRrmo9l5d4kU0n2x7MVWdnCXOdD1sHvVWe0BR9ZJo8SXyeEQ3nlJIRHpeaeOFjqO83PCDPCPNT5
AASWnnxttEptJ7+78RvrZRCxtuajPqySKXfWcW9+y6eeyG1V3vVzte6YcJh5ZggrjvPKKkpIQunw
aKi52AuLd2e4XK/bTH5mkzFzUXFfbGXfG4yCHoYyJWPcGAdKdmR6PY/0KjxlxyJjreWWtVV1ciMj
B/teepdnwzXnLsHsrIu6Kkk3Mvcv+IwJ1GXUdlSlGPDFtb6qC+dB6QAstEb7FhrWF83M3kGaHGpl
cueKOmo7wvi0WvHUJq6/zvP8KVedsTH8/n6aOn0nnfy1nKwTeuzJHhYWXmsdXWt0bs3Eq1ygixox
7Lh+M1WBGskmhruYoXq7voIA1G3mlErXML81pvFae7659zUgU5XvXuZ+QMbcxdCpGodaCSDAlR9P
78hl2oPmdvdxQZzUq7RsP2nltOpdXMiQrr8Q/77v8s5jaAPtut6HKmh60sdJVRW4hjT60xhpGI79
HOaJs6XNLT8xhmAIS3efpoW/HgSWeKrpEA01zr5gj9+ZUKbb0yLr00JlX8vRpr7f1mQjhREHplHf
qYLL5OQh0tDnYZPKYuR1kuiUzCmQdjIFUxJXV7mrDlMefiHFRddCWJwVXSDLo8m7tWqSd8ctOEMt
znO7gJhkmRPxxaY+lJW1TbFuEPhzsq3HsWfFejjviqT+0nj2tmgEyNpwV1I+uY2FdEjESR+Fj9JW
TGL721EUBAJQo906hVFt3Vo/1JF5BkuCKiRPvB01S5RfINjXIZeIY9z3Hymmqy0YI/NoVOZi88bJ
kI5RsY+LYn6cVc5royaxtRfGFfAy1lUDtJbdDQczh2ep6x45d3s4RZl/DP35JOScL4LtZhum822T
E++I3XtPwH6aW6pucY+ChFrMhXmTh8JgfnsZlNpWJnfiPhYNYb7undgsSCRaZLvRgwMw6QQXMTzB
scriSyfBFoSzFqSlHHZVNZ/AoJ5xhAWgHC8DpJGNmXCKNagXr6TbXPt28u5hjcnakIuT61MydATa
e2EjZPImEG8R07szRDFNU096n34tU3HJGnmP1LxcawyrYt3WHehe1WcGZTLKNWvbmRaMVGnxLQFu
BypjSElSCRt6eR36PRg6XRsCVTfhugzTU0H6cJ+MSfRUxxler/CVSRTKSHx03YwGcd692qZAWtld
V9+Hyrv8PbQNf6P7THj7efYE3gpkgmQazRDidtYqLRCZvNIhu8CgT08ZVJq1xZ5qi4EFTNc/R6/d
u3149sIp32lyOgIH9YM6FStcss/51FyPhcHdccpzBGTWmhf0WLf6yc7yD1F539RIKc+hml3UYh+2
yScMhW0Lw23XutWmrfivqhRPWqKd5+iUkz9tehfBR/rV75O3uGXxHYD+JI17gDG/vGu8aN06zXFu
FVW0lJcnp2qaUIYfZ97PRAMpURrWp4l3dMXd/V4mEf8zC/iQA09uMhB2KCHXqIvkjpPbF05gBzmW
wNEoWpmdA6GrZKCkkjdOTfPLV8+6yTevxhJQEOZ2Ogg7M+/euR0+R24IWBTZhubmCEeKJ91kw/OL
aGczoxNMnnnNgP5joxSlwRZlpajqSyX980QVNTAR4UABVHRKbB24Qr7jdkKN0Eg25M1zstRMQYGr
iWCC8dEpZjgJZkN5eKj51TySwjHnzpWXSUA85nJ6aA6uGR/VlHxj6EluI+XdTHqyK+dd62Pl83bN
VAT6ePZE+hBnA+QMy8rXVDN2STJg4nM5yJjzm+mpraOiN8+RZ8vAsS1CLebFqr8iiwMgbqjEZiMe
mhMfn4doosVBLe1Jr1zmsoAJtc3G25tRtjdA+g9dGoSeWd0WDlRAbqvSwZBi2bpgDK4stTWOvrY5
gk5QOT0IRRSc2/MgJi5Z9pdCs6UIrJAh/IhLtgw8Pz2W+PJWY8qFlfrfbvbJlTSl2Ao3AVacCrWV
VhlYDDIE4VC+EA6eN4U31JQ9In2TGcmj2RT3ynLGbWsCVU+aZwaVyN5z8BIhFQLfhsvmWl+rYryM
0oex6kLmjWWH2NzlE0LyG6SSGvSVoEjNdrLMyWlsbC1bGq/f8tpxNu99ILl+fK4bZiiyygrGzr0e
OnnDFON5wWMRnU++6v4UtL511ueJ001ZvbG3IHLIsnVaeI+tlNax67XPOWROaE40xh4Gj2Gg/oKU
KuaQB42Wq8SKc40KnLD4aFS+N51YrPEZcDFtnbNVZ3cGMdaic4e1nZdqz7p79plndSebzQ5NwL4f
+EQnBg9oN0yaW9mCnoR+0c7OCp3CrjI47fp6+iWt5dqKb1Lm/hIS8mo0YWy2KOM8Bj3gF9Eu6m5y
O/lAScHkuY6Fa5LXZaRd2yhiAVheW8aNQ9tEzHXQNIKshlY+pyo6dLF87dzusfJLaAtkd71mNzru
Esxdc+69nmrji6z0PXkVVsY8OsyTOx+SPvvCD/gYL2VWylHhJu4qwFC5+GKRnXrO54FBqDo5jXFa
Bu2QlICY5is1TFiQHP2lGjTwD+mtUsXXtPIwe7VM903+a2aXZ2nGz7miH/XPhf734ir337++0P8+
rb5u+vnflFf5yh+XesqrtJV1mLLw4ahkEmH4n0u98Rt9Zqo3f5iw/7jUoyf7nssBRPB75fXHpd75
jSavbbAYcoAnBP63et4MjfxaXqVzDu92gSgBfuBH+XN51Q+p80X0qW6KEeuYTi2IUeQMTPRYPEtI
/NzuGq6eJFjXWepmtGS7Q23r34ZSY2HIc3VUGXeXPOa42Wn9PsL7xOwA47sNe1ZZMG+xCEMSN3lT
IZgWfWAeeSiA+2TdUGxcOjOkGSf/wjD5o914dIHU0khI5zNZvsco6jhxyOcwMR/yXBY3qCkFPVed
rpx0kaDAdznmGTOOVsRYle/feimDCWNvfOqi6beRIdRDUft7bD6npILPrY0oWtvxrtbVzVhWlANF
fT3g7ohQINhaC6LFHs85VduY5YMRuhLXBVfdqDPBOvsQVqP2fZK0FcsoGlBtTM3alLSyZH1vsSpQ
MLVXvtXARGvkYcjcL7qOTUyNikxdzb41E0wZucT0Y76PS6kHI4MmSD5I+TI0FrLK7Ekh8NT0cjhl
csbebUfXfiWPvpficsiyzdyJjyTJ/JWsmRLnvrpTM+jSOmTCVwyM8uDj4vg4m9s+8y4I6Bi26nTG
PJOKaRLzLqncu7L9MLzym8u36yeeMlkv24Lefo172EZtuHS13Q7DJ5uxWdGcMR1jxV6Wg5SxQOxO
7aIJvKMPXl7qXL+qx2TcaMyUMbZMtZash7GbDePBYlgN0R/3fWE/VsXkH+sh2acuk2pOHV5rbcWY
UZhuMVKc2rK7qLAMOhiimSq25UiygM3/2bdai8Fcw1+HbR7TO6q3s3Svpnp6Mcp8axXDF47l1SE3
h7uhpV2oz+qTRx43o5lhi631G2C9OD30CYCAZ67CNL7yexGeB7N542JNLrvRjYOM0KrFInc3Nc51
ezMV9Oa0melXDpUNx4rraBDusYrK9hYFK+RAF/W6zxNUc1Z1vA+v8tRxsM0V6oFtUwGHh3802aYK
zLB59aEf4XHHn5pWPASzVVWf7htF5rK3eYo97Ecij+dHsyo52hmTgrrIbaF2Tp0+fS6I+EBP7bsM
pvrJ4c4158O1wV6p+zQEGITAm9rGH8lc+YeudD/G5aJlejN0xsFvKbC1t8xm8xQ3VyHw34AoRXUs
3WaN3EYswpNNVEKDBtHVr/AG8RUjJGTi/BPTSeG3rKJC0kw9x5FOuxnivlw7PUj5cM5OtVFom5kB
P7jnjMWz3XKcPKrEaAOOsa8JFymuGV13ji0BIUI19ic2oPShpH4BOcDD78ZlBvbDP7vT7+Vmqq9/
vTvtss+i+NeNaUGd/7QxsexDSGFKln7dkrj6aWOi2Wfxl27bBmmtP6rN/m+UW4D0/0hj8Z9+bExQ
1T2D78Xf2JaWRt3fwKDr3zOnf2T72OKYbP6+Nxmex5jwr32/YmpdY+w9/8bIG/gGtj5XIE0XbYMp
ithgjilvwy+kG5pbkKhIHvLF9zAzueUk/rkp/JTLTPqWEkmYFji2wTTUZFn0oCszGxfFxXwoRoAA
/eDfUkT9hmpHrsFOc1kzdgIPTtRKKmn1TsOP4+HJGSuxFzJ7g49iMhtXnqNE3aaLWsfpGjoszt7V
jL1GMXZlwihAzyTonDOiofvXBvdzuQh7wGpkW4bO95M+IMMR+luC3WesB/vQeO5LZbmHuVHvnNav
kG5kTCnzu736DE12iy6IeNBnM3lBuoiEEkitnNWRC83EKOB+FWtj0Pc1/qFhERGpRUmUmqLZVIum
SDM9fluws0Fbzs/Us6+8GbGRWhRHzSI7MihYxxYqMbOPts0iRNKbyN0kOJI8XEmk2YagtthjdDxK
OT4lCLLUpMqbcREtiTy0t/kiX0I2d1CLjsmXuH10EGqBBj+d4wLaJiAaJvOQeb7GsgcjbbrN7fTQ
RkxPokb4mPLBW2mLCKopQ2JYjEOZ0fQVbQv4dV3/1hniqGORgrBzBnKD5moRTA3fVVOLdKpc9FMT
ZG5ub90ZbspnLgr1wut5gqM/586VJds1HkqMRskR5/a9WhRXDfaXlsFNv47Pwih6LllAB6JVlYHO
wBbZpX5N5p956Kz1LO4jQ7yTnseBBiOMf2Vgkji6aTnsUKGXB56XSttYGub0OPT8+xC5EyNHkw4z
pi4pVg/2ZO0I+lhZkPVjtNOnMibhVzTGmQ25f/ZKx9tjsdde/lkOvy+HNrGBv14OH3pQr3nx+a8r
4vJ1P1ZEqFK0kUh+OgYDcsavVCloJGBIjQU791MSwvR+s0wTFKluOD7/i8EB+seK6P7GkJBBBhKv
9PdMxN9ZEZ1fjuqc+jUYcI7p6KyyLM7LVeJPSYjBbnIgc/kN8Z6jCULdGsgIjkDVZ2CK24HVHvpy
dmUt5HWw2nuNCr7kBhv34lBkSeCDai90ehqg2yGFfk1BuTOext28uxpn/Rz51n6OnWaVLvT32I1e
W3DwDAWnGwdAPM1GMnHfmfELPX4mOXnKF6J8lgJY8BbKfAluvqcwB3c+v8A5paa8tM5nV6wbIPWU
Gbcm0Pp4LG9494O69pMXhsFp+wG49+y6D4w+Reu+0O97p0RXAA/fHmNcjQsjXy60fHtCc9kBJgCj
b07j52TNV2T63pi0e1DTgLM4i3YlAH4H3+SqBMnPpPQxWxj9fmw/mqBm5rL7omJn2w4N0EtdEH70
vQuQSgRP5U0C+B/q4rZi+JtzGQfrxM04njTi2V98AeWM3RCBQNxQgZ1RCpiLW6BY0sA5xdtt7GAe
AJz8ZaSQZqMksHp6TFV9SxVvm6MsmFz9BnbItjfHO7YBumwJ/U4kB6YOdzoTL0jjnknebOFvkx0c
8CKYWf4mESVUizEhX9wJ+phcT4tNoUaroI3hSE8S00JtHTiao16gtkgGd/ExRIgZwsXQgHhZrad+
uI+ROfLPcisXn0OH2KHnxwhrDIDp4nywFC0KSV2q8YBSaNOpHngdkoSoc7I4I8rFHjGhkZAes4cq
/LBqeBVyEU2Uzp3gSLEWnXP2FxdFb0POiCu2YNnEdwJhhZ101pnMKjTQOnlAZ/juaTIowvyWW+QH
aMqnyGenhPCGEYNfal8tbgxfhFQwyzFau4gzzMWggekJvKtk1Ev2pCnyvT2nO81iXsZAcgm7aGLc
uP/0bMzalrP0fJB1lEg7fL3KzrHNs10vRg8OvWpVjHoLkoIVHbytDi1honmg+9UVF7zHGj1IWPXg
0jUkJ6UUjD6MnhcA88HWiFhEK8fsrDN1Ror4RaIe4XhzVywuEnexkggdP0m+mEqKxVniTwXvTDQm
FToTD62JadMJn+z5WuvDj3AQemCiQPEr765HiaIIEOIsCw9uiozL5k2/onqwHReTSqOzVcINJgCr
qL4mi3FFzNPXCAzs2l5sLBnP6KpD0NLRV9YQtugTbQt9cbggqd7J2cg3sGNxHeiL6GXA+CIgpHcD
BphxeEgzPehH7wJgjY7kIotRBj1gE38M2Zti1YHsiuduG0+DAxOrVqtKp4kGIpO2sWDnDvPpaLWo
DasKB5sHA98Q1qcxtleZJq5GrSs20puKjTbNX4lX7unU2+vSWcqrLpAEcisulLeyXxha9zSTSuLy
tOFCI/Khyzr8PAORUtXzDuTffzMyunyTvRDnKIRSUBZ3NSXHNuctYTm55L7jPlZNfd1m4McN3fqs
Ku3GpdDaJqOzIvNswXuleOzodIK0uTmHurYbEVgEOc/4qS74pdOCdxNh/Vcrz8ptKViDI+nRRhsa
qqNTtA8pyCLMmr7Wjix3PkujlcptbfZiHcfWFcx0RBm4Qm2Xa9gkzXuV5IoSBHfpVtsljfVQAUsD
WHOvRyjOSwQ4JHTcr1FUHSsnPhr8cgQxqaDaWv8onFlfh4msNxl4q1Vj86ZO2/B1cObXpqvv6FDi
Z8/Enns8JHcWuJXV9fcVenqsLLy+sFECbzm0Km5thHabN/JFLBUVvk3/hoVuF9VxDp6sfZhC9ZQa
3XNTeyZIi/7Z8vHe6YbSA00z4tPMgGQgvdimBwo1pozIWGW6eWja5L5wTHy2IGLCVH9V6UijLku2
dgYXl1L4UmdgqKoxngbnVrXHOXxR8mTF5i0tvxWXmadE5I/SzHlpim7nFOW1gQ0KGZrecux2PnUW
euDC/mWQzC7Ulgj3wp44Vzmz3GQgoFYSOkfpq3NbZTAejL07Ziy/ctrMk35PW/QUQzOkC9w/u4v4
Xqu7Y91dDw6ZYLsnFeBGF2uCoZWVvtwZdUOHsJHPyAJ3WdYk50Kw/M+iufInV2yHqSdn0I0JnXkT
5W1F/p2QyUZV0dH2PUHrB3Mbh+kIVNPUmwbW3/KTsEh8pQo0CwCCc9t9Tspc7RpgihI220yCN6b3
ElP8pfbAUTLyuo2UNNVYv45hN/s3OqW3G20WKDbbzjoMbnydNbHnQfSZpt08jgbrMVcBNo+EzB6Q
CFu/Mir7wGp0dELeOp7FjQDWTSDgLD9Jt2KFGDig0xXfx7V1bVktgzCx9mlOODun6I0tZ+EVjfSl
RZB7bmCkGr86P2Nr6mWQjtn7CDZ5hSB6Z2gJlLkQl3EROS/QH4fdhAdjo+oY9j88HMOYt84g8Nq5
ziniya7eEMrpVniXhu5eCKZTZePemBWiHtnnwKkz7ZGnn11czz6rMTkORuRuq3okye/sEm+xU5Cf
2xajlq4nEgwBc+0LVVq9FIhYEZ7e2wR3nMx+zP36MtVJt3Lm9EBXZQu+7DLwOUHnPm71rnpwS+ud
xfXS+aqAOc5bQNL6oti4ZYHTd8oikurr7TV3VLmYY/eF0xkrP8lvXJ+LbMoAx0b66bRpxo73g4oW
NyQ94MZpN/mYcT11oPPJ0vg6tzQjM8DbAG9YnD3nmkPuS9NUZyBQ7rrMxQY88BpmzCtby3ZQxl1T
Dyc+uXssZRqF1PixmlsgyDK7UjpbbUrTMOxOqCGf7Up/UWHKHlG4z60xgjynTqckQdBEMCXk29ET
moVirYvsMGMKtJqrMYq2EIbSoJfebWwjfwAm+thXw9UM2ptm2Ftm2ccadDkv+3QeRq/fT83UbYrR
ucp1D2B4zkIo4h2NMCdAXYQ/zzgrbT712ErWkQ1/0pmd50Tl+cUMtTmIOg/GiGqMYIipbg29j63b
MkwySAVTVeA1ITI2+9ZC5tRoyZvLJNDaG/uLWwH18RF57ZgJbs95DRuP6YpTtsi2SupsKSmanZ8r
CNFG2PHhsjNQeg8k+Y+Eh/OdE5cHn9PWQnM0ExpHA1H4f6pTv2v6dIZT//o6tu9znNwf3b9ex5av
+3EdM4DyEnc0HZOZweVm9VOBysI0a9NUsTVzkcCSlPwRTCfNTkLRXkbMEf/8fB0jmK5xS7Mg/P4I
Uf6NAtWvfROLgwoXO0+HHgTr91cEedfjVXZLW13ARkaIfiYK6rufnpTL77Wun20Rv2sn/qiB8VtQ
JafL4zvw6xzw3L+MgrOomEmSttXFVMgZWkiyLTj22DQK8xJrfNgD5AFjejuX0vGu4zh2XyjYGNji
NJsLnJaPBhaYat2O5aEGoYWOa+OYEjylTnpoNtfTlF1CW7CficPU+gijy/tOY+OZYn0z1+7dKNt9
ONUYcsBHFRL6mG3VRwLYN8JL37Ip/SpQuvdVdUBt/UIzgN6/jG+irt14RnZwYyLl+th8Iwixq+A/
BhkFpJ2srX4tAMOzrap9PdB56MlCu96+Nts1v95L5GgHzYc7aurVsR6Lz6z1YyaoLKbp8s8QEi8X
zqpblRqoobptthhRz3yMVeAVyxQNqxTzS9rbAmo1LVDDulU8DHp0DA3jsRkpthiye04x+63jSb23
jnWcrKbY1kl1VcSjArnqmoEtQ3sdls19IzlDu1bZbaLJvMoj5ju71rzNFFbYeehfRGLi5qHdQDkV
AbzRfUvcmqiWNDDhUXEvSuvkqsbaVBbtryytk72jgdojaBStx6TnCFwZHMoHj5NZNT/reUnUkpRl
2Ys7W3HizI3sQeU+C7OXvoqaY6ahqoPPxnmddUpfMzt4bAXnZU2v6f940Tnq3kEVbP2ee3OujLU1
1sQ5suI5nAdq/LVHOi3Sj43XN0E3uDvAtu8QqRien5gycK13b2m1eIn85uVsDZHlzUHd+Q8Mhn6z
pFrDEv6UNXc0vQU/ZjQxYQxvXUb5ZTDaNz1JtHWz8ErxiBxgHhIfHLqt9JapUhM9gNV2akMvALxp
0V+Yhnocoh63fNYhWo2bJeh6H41dHZQAUNZFyMybBatsoCA5L8Uy30vuDRSwzJFxhPOH55RgPR4C
51vC1dvWUyD23FS2JmY5yJ9xelXkhOSjRFZr1pXHaKrvC8uujnFq3kSZ6wZxGSverOOXIckWlF7d
bzzadivXnV9TJ0RuQTl1SIpPS1fOdmi0xzTKCDUUxmoUaImGqCPsJr51wnsV3sQgVBqvISsQYR5D
JvToFTqlsenMKT1UxqJF4LAAlbbi2fDxq9QPdqSADTo08Co/Sx9TzfQP9jwmF8dUD3VtUBKsPnOm
gmVaZausrD70jjkDxhoj5sqI3qUKy3Qjk2cMk0HmhBlnzKfC34y7iTv/OS8Jtwhx1/SJvxR+YUMH
IV5MJki8k3BH9lC/KtdtBi6a/Nc6MiuUE+YV17ec0jh0AZfjNp9NjFpAVkr3JfbsT6mNNZ1BciMW
x98crN8QUxTxrK8wC06qo0Fr969RbyXLmnPXFPomqfS7kkuB0sXdNLmBI6InIwU27dl0qbSTrzho
u95l4iw8t92Wgsc69KcPkh0gb90kSAGUb5DPr9MauVrbdMwG2jTchmsX5W9TU3kymQkmUq2IlJPp
SThHhELcTF3zlHP+2oRG+9l28daox2fRfto978TBcaksJG6+DnEMM6QbKnoKST8JsdGGyX1yIyY8
6rox1knEMdr2qq66Tk3zJS8tcT/O9cYdiggXWMK6tUpLq5o4w8/mrpvKZu1xB2H6OX9KQZA2nXpR
Kntqa/HK9K95q/X2fGHDq7dNVn+tDf0QN+bHGHo3y6nfz/woKHIib7TG9UDWA4iJJJPbfM79Byv3
pqsoj+9lFL0RTRZrlUKXbkiVUPvvsGEUhFKtLn4tDF5FFT+AUaIgaIpjP7QvvV7OZBK5WYWL4YRJ
GViAkr1n7aesAb3InKDtq/lGcBx7cBLyndPkq03UlGRuGqt9Dv2WtmDnUoMpei+os46KyzDsB71T
XNWbcm3m5bRThRZTfEeDHnXEe8nr2XvFPM6e1sIFr9tda3Fxc/RdMiz9AhG+y5Jiw+zoD3Q+Xhp9
vI/sxjlgH3rhHofGNprD6/+87XJ4+BkqsWy6zK55y45LysJeemY/l1kdapuGZ9T9pfQU2TVGex4c
fmru2StAev/5sf58ilg2eBpvjk6x1qQPR+n5z4/VcqnoDNWqixduwvSpJj4gnv5/D7H8CD/NzzGI
lGWqz9Sl4oPJXNYqplde3f8fHoQyNy4GJqqNpQj+84O0MRq+pFDqYjYPNbANcS2Gw39+iH99WXiq
fnqIX7BIi800gtevLpZ3n9P+z7sNp5DC/ZpM/8sj0fn85Q3w50dafpKfnjHKQnbudPwyNbUAvSDX
bhz7nJTVZsiPM9yV//yLLT/4nw95uofbzLZMDc8l4z9/frguSsDud7qiIfWiU9V0qbvFpyn/p/Xz
+11jacb89V2DnNZ/nXvZ/tfNm2yrfzOBtXz5jysHHSCkHdBE/GUNoO3805UD35xFPkrTfF6m782h
H2Et+zfX52t4EWkDkdb6qSdu/cbsKl+GxMf/jjz5Ox2gZTH4441CR5yWj8ffLIPvp9vGL/2fxjDt
1nTciNNKRCLrJK3/DYTK3O+fHmNJnHl08U2iKpiAwKH88mbMwQ74VQbdLkrdQxH3pOgNEmBbNx+v
RnN0VODSmd/NC/4CXn1DXaLzmNggpkgFsfOdK7dxfcQBUVhf9Y3w6nXekw2+ImKujRur7YEYa5Xu
zhty+tSElQYgP87zDaNQlFnHet41ZWRsFBTLXRNb9QbnCAonp9KYQnIuiUsguUpzLejxh+2kiDJj
2Yeg+Re5msv7opnjb4jyBgLnMgQR4LWawK4wWQbbWcafNnpl5agurVwz76FvMERR1WN92438FLIG
IISjgeHV+MWs9FM8xpReCYmtUh+v1FDvBrL7qnf0lduJa8Zxn+zUfEAhdt8QWouK4cmhOEGFvmZc
X1okZonVWPU5jpODHkXpQW+QN0Sjc6JctfK0HPZDVJJHpxyqhXI1IytobNLzTJets8xlDJcOP2qH
ZO8X8bkf4Vw56XSKK7xyVkhVxMv0zzgrMyDm/mYqnWTV+UztM0qBWWUc7V1hhvOpnqrTQM1jzNN9
J2S0yzO7CaSJKG6uNrWSVwCNzU0I7oHxp2o3z80hbORdbNfZLilsStywlpt58YsDyCjaEWFTjJ+h
6U6xyTlZTJrzPg3UlKYGsLH23+yd2W4cSbedX8U49ynkHJmAjwFXZc0sFkdR5E2Cosic5zmf3l9Q
rRZFdast+Biwgb75+2ezizVlZMTee61v6fZ6LLlUkeitOI8GDFZyL+v93VhWxwFo60KLEeIm+Fa4
K9IrDGJLNuIYW41mt21yMgJy39UJ0AZEoE7tsaItuAzcetcn47QpUvWZiNovGhrCTZ3aGYO4TJ4P
Eyu6LDEYUJBI/b8GkxvmkLJ3k1jbNI76lCjhbraVczIYbttQ2aShb2PkqdmD0eUZQM8y57LP87Ub
615c+yuguxjuBmLtUh2LY6t7lcEHT+9s26j9nTaDZigBrQvXfZjt/lioaCIjQuusVL2Y+aO9lh/J
ZcS1rm26UnnUG+1ZUcZdYc5nBpmkrviInqJw5j2Z1c7aioNVLSzmTqDVyL/tGfhxwG8PCMGJuZku
Ap9K2+DIjJINeW+g3xsEFHv1oJ0BcgjokZ0wOBNCxOxt7miXzdWaiPMbMgJuTeTTY5DAjQk5Zfel
vsALwTm1jw441HZ0JJB59trHUglvHCe7VUoY5fmwFkH5ootxX7nKfhxJ2Gtie1/F7iblzARFpSGR
Uut2Zme2V+YQ73l/EjL8wNCD5rCRRgyDaw7cqAnPM3NMtoDidQydyF4a4nHpw06TT5g6lPTRF0Rl
jKB/yJBD0xi1oVd9TTJpg2VICu2i0hGyDDLxpC+t6LwzZwzp6WskSlfacoW9RqVUMjXFkfkpsFMC
vHv2R6XR7VXf2Od+SCiuL3NXWtNtuJjB2NO0Tw8MtqC86NZVq6og7mV2S9DjX9CIc+kLTAsy3yUe
qKbgfgfrhPAXmwwYvnmv6mibC9l2cIzUPvrIXVbjTLc5sYvPZkAj1wYOxJJz+Y6sG7RFhPrEU7IJ
iKFBCjQTZEgwTVt87giqiQmscWKidn0ibHybb5lIG3gIlMAxKR/tCwq+U2rN8Tqgwl0YQ3qvxx0T
aPFQoKhjGAn8SKN94w+oktomdxax9JYTrzORjRkzu4sr/QvHnXFTEsQT5/09xKSNJfnnc9Q9MEBY
lzVfczIAyxF3GpE+VpffWTLjB/bl9ZhOZznhP22lscCH+C4Ip11EPFA/jsceuEIgc4PAD121BAlZ
BAqNBAsVuGscgoYGGr7aUJBmPPfr3gTGMxJKxLexyrG3zjKtyCW2iLh2hA4yyYgidxfIbKNQphzF
JO9oMveokQlIQS5uqj7at3Cdlk2kkiEaHiqZmqRE+UUkc5SKOLizZLKSodZbi6gl2fdXuvFoyAwm
bK1nDpbFmnAmZpj3btmjbSyWpZMAdHG2CWGpjUx1ynT6Xg4sBPyzXcrwuOr8R5UgKD5rL5LJUGC0
4S1Nl43MjIrNZh8TIlVb9oNPqBTpzMzf+mvfFJ7jWPO6kflTWRReqARS+TKZaiKiChMv1hhCq1zC
qypCrLC4zl5CrFUf4OV1ZNIVhYUXE31F0f9g+8yh6RgyQCEdK89UbVGY5nBBEQIZXKZoJU79iQqM
lCLVOamyfhryqjo0Mn2rlTlc6MSfECBkXiUzuobS5nqRuV2TWvoLQ2Z5jQyiPN2QAV/DpB9hSvsv
b85nF18PNG/bnu9qIo4gX2M7OIUY9Fft903PxCKfNfeV8zi+tZOPifvZtDb/Z0/xruyauIrtpOMp
VIaTtjh15Ykmy6+f492x/o+3gZ+fs6FhW8a7t6Hr3ZQNbhScVABjjjgROTSON4hPfv00shr9fiiU
BzbXRLmvM/MAkEcY3o/VQ1DEkyGSHixoNq8qLGeNzjqsbjvzQnp67KZmGP5v0vUfYwuOw39fSuyy
8rmOHtO/GFvwuD9rCGYTSFNA33zVznJtfdPVavYHTUVgRl+BICLN5FHfaghmHYbBrB/cjmTm2HzN
31Rk+ge4IEAXCBZCdvubFAeoED9cMBZsCaQnOgUMDQ45wXh37YuwqvMR8AnH+bLU1ho6cHEsBXHR
LyrBeBZd21Zt2doMXODzlrC4ZMjpvMc0Q2wTGYzUmztgtLa11otpwWX5FKgYyQrXfySb+jrxk+xi
SmC7VLONUsdiY2Am0xwL235h8EzzjpQrCusmWmO5NVaiiepVaw9igavROpvxR+2UPG2ZHOBNnpYj
WR3LGPbJealq2OSxHOKXTw7M43KvKYdpXVs0xtuKc15K7vOSmGkIANAqzs1+2nMaPHOK1j+QSJas
E8Vlp0A27NCmt1MUW+AMR1fgaG7p6FW0izkwitKrRpprlUMAiWoq9ymNoNIe870IuxvNJn3Lz/Dl
4f8rOZBOynkd209DTs+wKoS2Kaz4ZY7jB0x+YNHMXsvIaBH+WWnG0y3eVh8zeghj10ArGsbPbTDr
93TQ8f1Dolj3dlp5okkZIKML5TTu5u4BPpy2sgdV2ZvlqJ5ZhPZtolAnrbTu7LNaiEuHkMFr2sq7
IZxulNLKuf3n5kZ1ikthY1ImNjtfOqpp0+lmIDQnyJxMdUB9PCXKmRZ20s1QhxZhJgGABdVIDq3P
aJ4tXEHLsZjr2q5PId9dr8PcOE4E21AnBZoPICDmL7lLsEHtqXRc3BA6mlgkBe2k3yhkj0U7vU/m
fd3n7imCI1cho3MwQrp8CP7JxROJJzFxX3rNTc508BBEsczXZk/L7+sd819Gq+Qm//3d61h8KZ5+
vnXJB/1563JBdyHfBwRGqjIz1++3Lmxs6PGJ7NJNNjP9jSXA1HgQNyfx1akmuN/8cefiN5oj+5rQ
vlWpp9V+q/vxY2tCGgJMEDjcN+kvqqxP5sFv23JVUZmtE8bhRdXFHMY4keJxssRJ06MQVWag+Mq8
gjwxIGClV626XhMJ0yeHdGyJeVczrb0eCC50XwZ84DUuY/+RRkJMrgoLVznwpht/r4XxpK0CBPXU
RkmOGAdORohHSSOlqkPvac0pXIrG9QmvF7lgftdPGFuWXctpZsIv1mEWQ5lO+SVeiVppbDEEG0Vt
baugRuqUM8GhChjS+gQQsKsWnYHIbRVAK7MRyNmeOrcQu6zIbb+ee/699LVfXvqH5/ovzDDyMX9e
+Ui1aSiR4yIQdwKnf3Plq6jCscnITF/E14LL7tumLRt/UgCgqQ5dfCE1AN82bfMDsm9owqwKm1Yd
6+U3tAY/M/BcZhGaXJu2CnzpPfpbaGWgaogsz0VDXZzAEIVaGuqpJyrT3YjeeWz8YFhXpRWi7pxj
U9lnjdOB+hCRHt9HOkiQU+gXXbXD/VBmjLRium+lYnXiomSsOlxAFj8vjSS6wcMPFjKEAgeYcm7Y
VcL4waDGvJzyidYbSWCsD2oHUkfzIo083ZzDdQvCOEDRQ57dzvSVDESp1oq0uadQiBm/jfAvwQEY
nd1EzVrHbKrtMY/Srwtmdh8UAX7MaFS29FwjwCsj23xj39peLdt/CFIrBGK+tukTW1sNsk2IlLX+
OONC00jYnOx5Zbw2FyfdnUfgeLLpWAp5T8jNUoGfUs72sZuasPBKvbCvUSvTvYTgQSNTtjS1Mkza
a3j+gHhtJPSnUbdDfVMJfp6Cpvg0D6aLYh1IKRLgMSzEDliSoa5eb8r/LlGNNfX3u9MhyoPm591J
PujPNSqb8ybtdSLZ9J/WKDlDeCNMYeMUYwv6tkTtDyZr0xFEcjp/7FvfliirV65agdnDEpzKf8uv
9pom+b0OY3dyOb+DbnM5P9nA27i5vN2dNN9oJ0yd1nk4K0Z9CyQszcARTJnmhaHSIUTGZhUdGycx
PpWIdrCVDemlqhhLxgopMtyIynrZCpVO5OTYTbXLipqgAdHDX+6shgVF62E/GCn4jSIt5uSyyJK7
csjACoYP40AetDCM88nOK8/MYafhfkWxWoWfC4GDSZeENcqPcIFEczkCX0NdkyzpZEzeAJgt1PxP
5SuqrVBjKDTpK8ItSdHXZpLrhvmEvdUL+av2ssAxnB9NZbK3E0ToiNRiukPpsELMHS38vC8/E475
EPSxvWztzF9qZU6TA9FIkcXbKla2CMXbxVjnn1Wjjjcp7GNSJBH3BsqTfsQlfCxMeNIGRgI3nZn9
p/6NVjmXGQmF7tRv4vlSa+3boW/u6OqtTHhB7tfAyH8Xogwc+fuFePaYPP/FOuQx39ahDrYAqRrW
UYcjoTzV/VngItlj72RBGZz5qAbfFLiuxCDoqtAFv1Rf1+i3heh8wHxPYUoPnpXDAO139kqsV+8K
XBazJYG1TLBUpnUSaPt2JVLacVeucuuU9GlwUIKs8q9HXFJEQelRgkDXJPVUgPGuEJvASE53Zo2K
SaZMbxMf4VU26Ux7B5VCMQYhux47pOCmwK5kQN1xLFRpQxzhkiIxXXFj6yhmv2KHw6+TATZH2bB2
Z+fZintUFBPGDp8hDXZHPNv5OBziPF0rTg/6lFbtVds3VEaj/ZCObk4nOCSXHcpNqhbbGfXNoAdX
lZZ3nmpPs9foSIXyrN62s3buNu4zxMPLyHBOc+XsEDNcA83bgBv9pAROecjpB1ahu2OKFu00d/iU
0jsHVnud6dYtdoVxQX+AoOfEKK+1JriH67QznHIVqz7ThPSR3FsNQEuFk6Lthw0YRF6zSe/UQHaF
DFkQAukeKgP9VVLr2EPT8wogDQSg4Fhl5mMdtqcW+nvLBw2Rq1jOxTAQLlXuM5GIZVa0W2TwHr4P
BNM6btE5B+UP0UaUBgYYMeEAUD45dXg5DaZP1z/edUEOHUY0M3cBboOOBKdpPgTKodjqQ3WfcEJJ
CiBVllHP62BKGW6V4VOTkYM6lVApcm3akJSwT2kBbDJHP89LDOxDmxJnVtcfSz80V0b9Aq5W3dqJ
7a6obekXWLbHufFFGTFW0JI7VfLYTsh3voQtcOPUDtRGN92SbnCZBs3W7fGV4c5bxm0pllaQE4+r
BtPDlM97JzC/CAa5MojcJdVgvjfrcg858oGRymWFvoaa934oGXvUbfgiMhNw35BAHW8Ym4hpm9At
Br2lkdPUDc+jQ+uYeSXlcxmsY717mkJ8QPRW16JPniaOlQXliGTdY/b63KNEOBsti3I+k8bTFtVp
6g3Sjsr7h6I4SY+qb0X4VXuM13ARHAFPMeNu4Km6QEtW+Tw4kZ/4jEd2gaCcnnQbrRFLRxPjKEYn
ED8ZPvXqaWYxXE5OLDY4lwCVmw19/EHfG0ZsLIFOMVvhMXNUKrBtA2MhRrVY4RvA62tV9PUTbcJH
a0TjDmGdtSCZPNo7zjhz5rWGFfCvFqUqfES179cDhDBIuSegbuiCdO1odBWAY5AgWMkDr0nj88pm
EKNrd2Btp2t8f8l9rskeewXE3KDRoPl1uXJaLsjaNhI4S8TwmWQrjDlJyYbGmkUAwHWjuwpzcCZg
2kC+NDBC5mlk9QllOiY6JDwXSWBHh4ccd7RyetR8rjtlo8HHXMCb2OU2EznTcvaKQ8qmFqSOV0jC
Bhis+kHnTM9gEe1RF+DuM+VGmYeAfSO8h2vyqsFrtjMxuZr+Kc4yf+02/Ld4v5xNPo/clRKClouM
gWSjxCrnZcbQmi6/X98mJtr0D5UbbrAVnEesKFjD3T5268tw4F2r+DO1oDhoE4G4GTGUhQs7KZ7r
I8oVcj5DjGOG0/ENkXwG12wN1nVaZzmhilZEDH0MMBHI5MEJumAxlJjLrORe7etNpzTXc9L3C2wy
aImHepVrybHpajz5XYbpUdRAoMut3TUvgeGHnsXm4ZF/wIJFyqcfnTG7yZo4PXPD/gJ6dENvCxJ/
VoBoCYjXwFN4x9FnPZjlofOd57HQNQSS2b5NhnEF5HojYCT+e1R/NVMbzDL+/oQgFTVrIpifoubp
r/Q0PPjNUQFpvHBMZOycsGWB/K0XzlEBtZhDqxsy0o+BP+ID0zE6wu73R307KlCmc7Kw2NoBHqM0
+y34EbXEm9EJR3ae3sQt8HpcUHEF/HhQYDSvOrFfz4xm7ioHp+rc/q60i7+q0gQArO/qFAXyFbxR
ks2lb5cjm9mpGZVFreJ0ixaN9QVd5Jsv4C9GZj++E2SE756H09rb5ykw7FR1ZGknSzaq6rNBfPn1
E7wK+L6XNz8/w/sxk1ZBYOA8cNJH2vTmrXBfCmXClAv/rV+hl1o2/X3ZbbvookUgokXPcbgOggu9
uGzz62CQ7XkM2cEKuy/ClMsuvh5Qlo6Ydn/9SqUt5M23+vMrfXf8w5fqt9Bl+CzQssAMrcq7jtyV
QjNPA+oazOyIxF+EooPBT1DpRMtfv4DX8+X7j0pjYoPJRIX8p7/LaWPT0NpeFdMJjRTh3BoUj7OE
8V3LCQSf9BInR97tYrJl6rFZWN1wpaWQOYecFnivKvOSrS9c6GWn9qBU1f3gtl29SbNPembsCQaB
T6crsXY7Ghm6qMSNsUXj987jeEV/fld200LvqzVMfK9vp004n3o7WmUBKWi05TsbgRUWyUy/QBy1
9rtPjZ8i6LlpAudotCkkEKh/OS8AziWw/qWYIQDDIkysm6IkI93GuDdXMIIBDHZadyZU6WjcTtWn
JoYNpQBZGvKD1pqXcXyMx2zTEwl1m1npojQIii/cm5YJBBP9RdzjgLCiwPTY5DhdOJm5KpL0vlWw
qmdzjQfNbzxCU/4hw9GQ38D3b+inhS/TMN4uF0xuID/GZj6pG2Pr7+az9s7YOLv6RCj9WbutliAf
PXc5rY3lvt6TruON98qO3W6jbuxjtI6/lpp/m2MnF8/31/PzJfuud2BC/BCZvGRR36BWyKH3kr64
rtR/uB3JS/9Xz/PuhoezdE5DbO8n/CTpzfilCvBPLjn/2v4/LALp2/rpqd4uAtnMf3Pnw0WQ1gYi
tFNoLOMLtEbduKRpOTQrDr3BCUTvr1fdX90BNYN7rBxpUkK++0qJ0B6FSA39BM0GuOjnXvmHcb78
A+8/u7dP8O6zw9wo8j7Q9VPTex0JFgP23TH5h3fxT0/y7i7rjq49Tw5P4vaHuSKQ7Ua3H379QcnX
+av38e72OLFX13Vm6SdQgcsxHRaqfeXG5y45ca9P9F/dPzlGT3XRFC/tf5d/+amApBkFYfs/fvyx
+fpz8Fx4j+3jDz9A+oza6bIDe3T13EDq/9Zol//l/+4v/9vz61+5mcrn//yPxy+ABL2oaevoqdV/
boYY/LtfHY+e6seMv/dXZyP51x6b9j//Q9GYqDFQgML+rSXy5mykfXAQczBv+6NZ8r2f6XwQIA2Y
phn8Q+cE833k4HxQ6cgQoGM5HMYBxPxOG0V/PZt8v1DkTZLjkXx1FucWFP3vLhQsWnkzFyOQRHog
S7OLyrXRh/FKupUyMbbrRknYikDe9/fACw4lZenGRkywwOIWLXGFE12eO9pVENgrxbFQTU25WNpk
MxzUdn60fH0+d7v2ebCrZiXiRMKW/GvEgvYx7/FBT4Qvrsuxr84xUKziIPzYhhQ6rMR15Dr7jMRC
s9ZeUIJ+HMIMAntCWV57QtO3LtEM0nJNvyIzSoAwSBBmFIjeqJoN8/qOrodlP8fCvB1s5SHpleeh
D5m5A4ZejgN8DWiBX6psCsBrIRNVezCEdQ4hVmohMAJ/nkL6k4yTJFSxbxd9B86wI88nzIpL3Q5W
dgEwVkzYHKsOASJjjS44BtHOLo2rqrGPIMueZ9QCU35hayV0wDo5z117jdnrLqvgE+r+U5hbN70F
yFmNX6bAlK51/dKpkWo6HUTZPmhuC6XVQQe0JTkFYboe23RcVC6hlTV5Oxkwew9LpLlF80qCG2b1
FUcPgcLYnOnqEv/Y+LG7AtXS4N0J0GHjPM8U0mxRbF5ZGhjQUSfJMZ6wbmmR1ZM0qBhH3FU424sB
7x1g8z28A7yvI5I2pVA33djsGC5HXm3QEzAZ1W47nFvJxzyQ+Wq6jFqLG5m6lr4msKX9vBwNe1j0
tIdXueW8YPTcjuS2hS3MUSNrWnFs/bZxH2prjr7A2xCK52qpS9tZ89coCrWTQDy9bGa3Q7Q55esS
fs0xm/Xo1hmcj6ATRiDC7kMSgX2zemDYg4muVyk7miKTc+PmA/B2Cx6X321S5G4oW7RbpfMBYwDD
X43+nG/6IQ+uMhNuqWj0/NRIcLjKZ2k0/XEMp+KGK0AswbfR9KnS8SKfyOZzuqHEL9l/buitHQS9
AbLwwudSC4n0NmltRK52rjiF3y5UZsuZAjpbcNzb1p1fb/XaTq8ru0pPfSHym0SfWq8kUXLZm+VN
4bRe29pkZMqyJcBHRdgSImHyHJfw24pFW0ynoXX9JeMIsM5J4a6sSB8OLWqj9UQzYN9O0IL9clmF
w0fsitgiMYnhjS9jL4BkutBHU9kpijs80O0BkDNXPmCPNt+MZZE8JbgRtmk30AernH0yAH/oZ0IJ
69adaQVQ+8Dep7EwGJp/FgaGc3T66byxhQv0g9JBFIRbkBxDlLDqjF4LOPuoODNtCyRJi8Qa59X/
lQ1p81ycc/9uftyA/l/ejzSOCX+/H50VzX/7n3nwnD43P29l8qHfNiSN4po9h/Y3Mg+KVX71rVgn
mQjkmIPOEDc+FT3b2LcBGw4XnQTJ7+6X7xuS/joeRwFpUc6T0ftbxfqPRyM5HcBFI8cNQrh0slX5
+zcHyhh5uTPknFS6bDVbghzUjVndvflgLr5ubm+Vp181JG83PfksCOMspokmIj2Lz+Dts1RAaJl0
W/F5WwDN8ApHpRIC20HmG2L7VWw09bKgp3omAmgWHXGoy3T2Dz1t7yu1DC/TiHxOK4xgWqj07DUF
94HTYdXVInWpBsRg69mu68Nj1LvbstPO1Hm4bNDRVnNxGGvjxGR/r8aJVONDH4zVyl2Lic3Q7yzi
1nT3C3FtA8bijF+2RJ1ROrxETN0JB7LBQ3IHI6zY5/Gj4BY7kWBk7wdlzjb+MAqvVRpQmq4Oeaub
C2m9yJH76eZH33DFRqSW8aBnBCgpnLM3kZqE9irsqjJdFVOV3BXwjIgBIOlnG7gEduw0Awo7HU3n
HP7LRIuNzBGwi04YLkhdM5yPs17ZOP71dFMrs21ttGLAI7vE/qOKCrRa1k4+4TqWcnKQ8x/5+yWi
HWwz0jhcKPnGocvn2dwMQbchd6iFE4FCM5N9N1a2c8HzNcaDNQWiOehTAfsNe/4VQFtrvAg1FO9V
MLkHt7bFHnN5cK/amnkHDwf1RDqhLmvzztw5BW37JSegYd46Yc80QR0a97YowATbaAdWBBaZnl6O
4TLtSDKqgmDa9brVc3rpxKrlMz8jf6N5bBjwjBPYq2l0IL5U0U7B5b1Cb8IcNu2HK0gB6MCndOUW
mnsVkMa8oIEake7khtBjMuIDEtPrCzLdq+jOyaz+jK+uh5MczdxXGeDiXFCZNI3R3iaGeCVoVW/a
NtWWueub503Y6/1iqpqNbfRbHDZ42ke9ueSOrq0cJTtGeXokECRfZ3V0aRbWzgm72PPtdFtE5PcG
hnrRuMM1tpj+Fqez8wJegZlU4tnDaL8UUNasjIrcr7QbVQGuTSKiohfJylWydeLQKR7pmDd2+aVp
2uc8qp+nePrIuJfDQL930Zcz/UMLOm/MUT1OTu8ZbrtFPnM2Qw8I6v6zanWMjpR1OmiMYUjO6aYn
YJwgrp98tdO8wU6NzSg4WiZWf2/ZEGdm21zZTdKAN2MQoAzzmZ7pOyPQj3bZgQVL7ku+vqbl9Jc7
YuX3NlBwZ9up8/3oNyvsCXSC1GphkEW00Jpc3cUWCFFtogktxAXv8coixNUbozlgRuSTKdKr0TE0
bXDZvn7ZpmxcQ9UeAn3kYm61TVrh5AJVxFWWTQeXRaQWguip2htJMXJK4wzO050yt8vEEtedHlzm
VXkm+LnX3bOs6y9DlwmVXq50mF6rIBgX+pRoizgcOOfVRbEMavU8UZKHItEekLDtCQI9FKmzjzvt
cgbElRLAUqTp0TJjCHfVdJiF2JYK8zuHOKEqEdvOtTy3ZhoSjgS9zsPeKeZpV815vicQ60s2QcRW
whxLWQBczRqNZFO55cbHCHU1T8Qy/vrO+xeyZA2FIFUG5Baau/zzxztvOGmkTtsp6QpVoq8IWJyw
0k+JlxFVddZmALRFTzpQEWbItOdnGp7NZVUl6o0DBW9RjONVB4ALDqKXuOJOHdtNFdoveRIHXlnC
jSAamyTzSV0XM9d0CuWq8K1mOcQOwVRVr3vCabdEeHwm1qxbRnHzUUcqvcK/TpKxCkwizZdDRc2/
00oIla2fb7S43uhkKqd6sWky8WVKs2swJvuOeJu5SfdVB821LM4w4bibdphIbJiirY7/hWYpBHXQ
++vQjDcBu5/XqM2VOXXasgztvRq6rGt0UCBNNNAG9XgbR725cG3Gjvqkn8xozpeVbSOOjpJjX87n
YRPvksHaWPAWKBSqnZ8nLgYgYoQyB8MHgC0rKM/SgCQhkeunKIWF1GVb9jXIJiXJXMXUrIu4PiVx
eoWok9EXZZhn54C4DMyXfl1fRJx2oU8yqK7r+NacpFNwjACDikPEuZrRXrl0GLwmSSWTlNBUZRb+
o/s4m7zMIAgawOjAfchoEKu64kyt1B51s/LF1+x5UeJzYgA0LhIiXHdKKe9l7Vkk7E+6mq5VdSJs
i5HdlOnaMm6mZGWGwcmYLc17ZW2ZZexsCWPqPhYGoCcUJvUxLYZs9+tL9cdO0+tBxAY9QRgj2Vz4
L94dERiGDWPdZ4Qa4TEz4n2td4tfPwNTkbctGnT+AssIjSwLtb/jSJ3i20OIYaPCd9wgOE9xcir2
KeqibVRe1QMITqh84MbwJX49HP9tC/JrW/r70Yc38u5Z5ft+c8DqyqQtTUNRjuqUX2MgQCTB/2FX
/BSYnD1C5EJLrL53tm/s+o4Ax34EvJzm8BhVPSqW+G4/FYo4i1qTYUAWrlN30D47IR6nTI1vbScb
vADbqkjNe9tPxr2WGnbH1ZQXq24W+cohjtXTSrgWWIynXTcK43ORx+0a8YQB4i56or9XryqVLGnu
wJPXOra6hAh23ZnpzIA5uWViqu+yADjS1H5hGLllU7ohh2FtN0Oz0K14a6ihgsCBEwr5Avlmmjt1
WZGshXPSQs8bjVd6mCPrj3qsAAF8NheSSdO/VM2gL5oy2tWmskWOcDPO8Z2pJnurLRjUS1R05Bsp
A/8IbW9n7ZI5PqBI8PLJ1z2DURMbTMJdVr3rVdoKUZwdnXDc5PWw6v2ZK1hdJW2QLUP6FUWMJ7ic
Y8erU/9YkhURWGKrFTZos2C8RlHJAa5UKDnJdTSMVl3Oot0oJTGTWlc82kF1rNXsskLoWSN+pqLa
9xaZOL1lbAXzCapI7TafKLN9Itn6ujsvbfZIQiR3dW0+OxS2Sz+Cq2SZm6A0z8SQ/lN/+J+ucSqK
t1fbQB+r1xFZH4EmXgTnyro6VB/JTd5ZW/uMRJBw+aQPC4bjx/xhOPx6fenv+uB/XOqo4RAS6kwl
5Yt7c6mj9HRyGIfKkcDgRX6mL8s11bd2UO7EWl2ptydleXbXr+gk94/8T3o+namLfbT2zw0mE//w
an4sbL6uO0OVDTbDpoyy3o2LJnVAW4ER+jxULyDTLyL1rv7N+eDrG377HO+68XOddUoYpiGb63NQ
b93p8tef6F++B4HWilEvfGrZIH37gWajPSP+qNi8lYvKZT1YnDm/3qH+q/vJ/x+W71yef1++Hx+/
PNePf1G586g/K3eXVrKOr0vTLVeq375X7rr6AbsXtTsVm67rNr/6VrmLD4JamnAFthqkqxIn/m3M
bn8QUonHpAGAOWXwbynyzHdQCVrJjkkrGRU8vWQ8bvJFvL08FFWbGr3VgpMPGFvIdL22wZ2UErjH
xPGuJICvHFvXm4nkky3YTZ4FbN3dFgzGsynT+wbX4s44YDIT6WHEabaY3RhQW696GuF/8n5Nwws4
kpOlH1WZEOhHsBDMqHzSAAOzVXTnbcd8VevvbeIFNWIGLZk3yCziwXZTT6F4+MhWrm5zTm9BNvhL
4dPw5GUX644IQ5jPGQlg+j2BsLlXyZxD8tYab1Bsk76r/9IPzTMyeUCR9PpWThHjQyMysUjCS/Ij
H2eiFBUZROHaQb8sLCq6hMBFSyYvdiScQfwKp0Ujis8O8YwE259nCJ4X9cBb7GSGY1NqFwqhjnEa
HEnpPsQy7TGuLdIcIv3CiuMLNTdgYkdpuxxkSmTK6WJjm7jb+2Z4Iq6wWaYaENskdNL1HFpofNX4
pid6En0vaYEqhrvGSMUZmLnrhqDKLNMum3yo13FK+KtCmGVIqGXYjoeyCNWlwPsrbcy7QAO9HBRo
g9DiFouis4ivixpGqOCTb0lKzrcu6fYQykSMHI9sTXwOkGeT8YsiczeDPtSI0lPRaMlUTmNwlFVJ
UKddEdhpOiUSId+/nGSaZwiAbj0F7KZumgGRkqmfucz/LGxlU0hAWSQ4xFYPGJbJCQwgLKdlSHEa
CPLoCBQVMlnUJO6TjFGf8XoFlQ0Xz4Jz8VPrhgSeysicVKaUpjKvdCS4NCXA1A7q8gh1jXi7APoV
kc7rOCLvVCWEJ/K1dtXndrPX9UoyakNPIOn0YpmYip/cIuSIFNVaZ7hAOM5TV6sGCYodx3OZuhon
5K92Mok1islkZQB4RPTnes5oP9dlD82MJnE+tPnSaLmUqelGaAQRGaEBfSlNsa9zImB7AcYkooZa
NI5Ity0N+WUTDNeKzI71qfqETJMdMuTl6FaZtsus2YrQWV9FRFmZqbklp+Me4MVnqp2NkEm1ktGt
ZEzjAzguQOEJGgirz5Nr0r0dRCW8vHHtS/SbrbnHhq9ZHNAtKtaxnjJYBIT6hndjwJrXE6egedIB
jRfjejJa40IM2f2Ql8yInEhbACqG6GBNH0fqbSojBGJjpCycgaTHomgnUgoLQjG6YTOkCOGjAo1i
jQRXCwP7AAezWlRYw3A65zfwSU61XcJJIfGoK/KXqK2udSPc5bpz6B0slm18mGc4xBTOoRIe1RhN
aTHF4I1T2kFZbV5hxOoZ+FT9uhq1g2PQ9aEY3EEi1Ff03u4HN9g2g3lQFfXFbsW6SeBIFrBoCwk7
RxjzqMtDXiVB6NXYDoglJBwdSrozBiMp5bFo27ucyUCxHsOSaQxJr8W1gV/sI6XsQGdChwthqwQU
bI3IsR6CpLD2Ldjq4CIF/+Ps2koxH/zA1v1jbCFrzsgg8Lr/xd6ZLDeOZFH2X3qPMszDojcEZ0oi
NYe0gWnEDAccM76+D5QZlSFlVIRlr3NTllYSAyIJuD9/795zveBeozOxsgadWyMgeC3gftmaAuRH
nyDa67nvVlbJoZ+78KEFszLhxgUub2+hEAeMrBDT9cRgweoILt1pOg5FS/pCDlYXKfUps0PKbFzO
q7yMWZ5S6DttmLyH0rmUNqJlpbeYLtRkOo1p5jsEjdHjoZ/Q3VUWEY48xRs3wLczz+AqdTp5Znxo
09HyobA/aQPruCh6IhjyKw08jt80Qb2tMoV8gDo4jqmq+2MDA1WBmgU/utfSXTHHeNZG8eSILkKK
RMSnQ9ZnnCbPOtmfIhmeB3DuBfybxUQ6aGASE0o/jvkcyaHqcAamfwkTx0UIW0wbTlsbpXOP4ENi
EN7Ju00KKbQxDtQGqEHySTUKtgU0Y/Lg5/BSJwdLP8eZRnOwqZwjTgsDWAhh0fki0WNcTTifRhJR
jU7V/LwX/UK3q6s4sTxi35yzoKxOYg5UreZoVcDgN1WkX5gRcHYrJGpYSrid5LFCEDkJ8lkVkjFJ
ZQCT7HYvSU+Eaz9kh34OdeVMdgjgh1qkvYJkOo5z/KtODmw5B8K2ScnoVN2VtfuIkCLekCsb+rZC
1hgYbTI7YsO3OGUXY7bEhXbteKmBdtR8sztPrvs5ktaAQZPMIbVIuG1+cVijOdqbDUG2bQyBBDD3
Dpwt6zPa8bQjClyJr0lWeqpaZ6dX/H/k9nSE5KYGX7UKhVzO+bkOQbq5Fr4lnre1EB4JhZ8GRO6C
EH8ta+2Q69Hmo4z6t56cVZa/qidh1f6knORF38vJD4MHTiuaHIyDEIj/UE5i8NABhNkWJL7ZhPVX
Oen+B5Uf4kxoZ96ftpDv5aTzn9klaWJkoqNhMlz5R8qEj/7HX52KD/kWcTrIHzCDQVH4Kt9ymTXN
NLHpCIXkrjKodzJaFWS1ok7TpnxNXN4GqAxBMQpNCu8O8CQK8Ra6ae7ZN4lrnhui2eXo5YBoojBz
nBxZe0x39Rauv7YSunoZKoXcNSyEpKVnifLMGJxlstCQQBycoMvBrhcqE04iFbd1w56Xt0l7qaIT
JyrXvu7T+azejUfQLfjrC2NZRgQ5VoO4GUflDmrmrUFJtFB11mRVUl8o4zGK3T3yjiWB8i9ygtmU
FkRCJOpVmegnloU7vauLZdTwZAXN3PVjPt4Gxfsop2QR6doanky41OWMtdGHI4GGT1VGsWB1RrsE
JPBa9fm0bFRa2N7grkK1IZBaRNo6dWyHeBjFHHf9IEio6MOD1jpHI+Wp1oh0aB0f/6mDIyCiR653
B9mV95HqPSjMu5mlGJcp0+7Gyu/SeEI8n0y3DTEnXauVF1rQs1eId13VaDXEVx68eGZG+VkZ5jst
H+/Suj0oontXJSWpqoyOrxtGiykAubiipM3CyNJtVSvMpyPbJ6SYwEGdDoXFMf6oj+XoT0yn/K6B
sxKJ3m/msDSRMHTJ1VFZuWk6+cVQakhPnJdoDPeFgQmkCRJ1UQ9MTlydFcvYtq08BhmEBIPe0jmU
jKpcMFNr802DbDcFD5/vjEb6dW2dNwOoCUPoBCkU3dpUg+cU7E6aofI1Wwq/YngKbZR8/Ju+yDya
8eDR+gg5f2QoT6oEGC47CGFaSnMZGw+0DMbjfLArV63bNUpb+yzrDcjAxRxDymhHb3Jk+XrIdMnx
kuUk2y1cMAQcNnElWQdHiGp9Q6+2WWfc/xcQ+llUzZ1S1XcMaLdqq9/1HRmgYVSry6bWNXoZenJW
FpA+QlKxVpEF2TLoEoUkHOhMQLMDchk09aIcDP0SkDX1adptPOIa8TTtc/JFyO/Rn2hrWBhAxvjo
GDoxPZa5Ht183TY1sZRjnJFPUDyPtVjrXfxNhETieaB7w4jvM8nG7IhCe4Ew44/V/X/2M790JD4U
0ahT6UXg8JwpQp+PnKUxkICneNoxy29T89Wylr9tBP/kEoAP8JyqrJFAY780PcYyHOokts1jWj+3
6WksbwrvD6Xqv3vUzK78xR71VsCqiIufKOjmF/6wT+GKN2hTcI98iVY2544IdlYLoA7ie5r0f7Y9
PlIAdOy63h8ci9k++H2fQlxHF079Mzfgu47wT+EAEsT/fffZX1qM3H+WoUP+xHdMS8b72sN3sNq5
uR4qR+IzQEOgA1fN6S3oGT2nVmaDfMANQMCQHMM8g/1YyitP5sql7nQKAmtHFA7COY8+sIcZZ9nW
mrznpOSML5aC2NuOoJDps6snIe0R5pNLQk/d81/swxtyNXGoz44gPMXDqisVby01/RuoS/UlrHAQ
VfpQrsXsKupb/E3wxGz6J/yuMbuP2lSXj+WHI2n2Jk0Acfd94eyTBLR+j4GJ7E264ViaWr19JmRA
XXSz24mVjjC4eRXDCDXOjqjcsVaRZ3YX7uyWyiVYQ1AhxgYRGwK/2VUlUxrUoH0XxgiU2w31aaHP
LqyJiZ+OSPuU1GRlFWOTPXSza0vT7mOzxkahpBdxFUZLSoXLZGqKhYHla1QT9iPC43o6P3Xcr22X
vd9ssmbhzo4xZ/aOIYmL98WHn2x2lnF2U1f1h90M1mC/cGcPGrS/GYuILw01I3HUoYfeQhh+Q4J9
NbvY0k4Ml9PsbCtqM70cMLuJ2fXmzf43aH28KJ2meA3wCx8m0iqQ8slsmpOzfW76cNINA6FSHNfx
1yURzuoF/uvg2ppjI7uPBElu7GJXyK7b5DXOt8BW3PPY7BmRIew6R6hfu8W5BnzuUmujhyyCkhcV
9lOIwBepNUczyrKHVGvCVdCU76pH6GajhGfEBxNSkIzHjKM++Qf5ezRZS+YdzRFi5Ii804QsKt3U
9wpkmUpn72RXOXud0Bi/S8ZrGCl8TXm+MSP+x5OcNQerdRfmOLMj4hZXurVo9Ba/hex63TzvrFLZ
AyrD72hkxsn6yLGQnJFVMI+W4et1ylQiyZozjNw0vLjREL1B2ZeVhW/EFGKpCEGHhykME9t2Y0TZ
47ztNSpb+Igvc98P5DtnXaitLTNwL3DyrpXce9WVmkDY/FK07W2AeLEuHQZ2ulJejEo87vQZAkH+
G0FRlA85W/2NmgTBynXfGvCVccZk03TOxgj5nJNEm4pMOZtzLO/5SGjZmZXnj1OnHCwtPssjTkFx
awXnhUtjI0fruW6jkLS9ISR+I9sRIL1NK74kNyJDuo+Z7iVOsKA78hS2WEAaOz4SuEycQUETXWm6
HKBS5Wt2tvMaa+VKhMfSXfSM/bHZvdtOzNKSryWoDpDtvtqxy4Y69SJbb1QmO6czIekPfo8XZBE1
DLg4KN66mXrUzfaWOAN4NaknbPqynr0P3Om9rLQra2p3Dgx3AygvXEjDVyM4nkrqJ133FJHgZctu
VRNERiive6rT4soV+quX8gznmfHWeOOVqQz2EnknAd3TWklNv+Q7ZjKLeZZxNiNov5tUgnWC/GUa
x5t+vh+1NNnJNjqhOT7mxGDgIiYnXWydXPgspMTPW+plXgwXYzX6OmKFImiXiisXABc25ANsHaaB
eUmwRj2sFWse8uvxi+22fqaUWwU/axo5q7EUx6JU3VWhio3W4FZOWlxKDfbKLtyiRFzmQjmjKboe
s5hDK+radPArHhHd1P1AakuOOX7QZG8yexNBezWggEpcleArypi++GbRFqsng7wRrkG5aAb6kUbs
dd3Ya7OzONEPV+bg3WTJpJNjjr1S9OomN6XvBR53YECOuKOugTu+jwxUWOHWdI39OnKXtovxN6yj
HfXrFmb4N1Vr9pPlXtt2+c2N6quwQyefvxao3CsVZH02aAvHmFMey3UdjLOVZhWRAxAa0aUBf0x0
xpUe0A1XmoUuoQ+DYCtVdat43datlbUaZdeJJc4aS7uV/KUOlH9EneUqULpDrbZrHsWL2nPXmlHv
jQBa8VCtAJoO/lCQHV5h9UJa/tK34hv/FG1yKA9jjdCUJwmxdUQYZdE/1UVNEa4cIJ/tJsVBa+ZE
i06moPDZJEC0Vj6tcYpp29noTXeft8Vjgyl9LJ0dE45VGWEOF43cFq61U4ccWK3lIc7ovvVSvRcy
ucIfR9dnWMdBy2fnrcKi2TqNxd3pwLXoLsHYHEoEFZ3SXmexs3WH4BjM8dBmvu8C7TwSDEOLNibb
YjwBRqOBQsph714m0jsztOGhtBHKSM4ksLVuA2lf1rI+FrV1hcVaXbhafd1SgXYlbUtJDjpRoWeZ
Fe6p1NVFTz9fzgvVJL6NaXPQJUrkkpAUTmeJ0ft1P6s0C9o6xa0sx72mi4Oim9FRCTh3hFTY13Vt
oifWm72kMT71PWehlI0neaU7eps0OZ0XVCELz2keMKyR4pcuE4HVPtZe7Zx6v6m+pTLawQk9st7G
K1WmHKDrA3prnsvMSf1J1R4iqy7XnpHe5BKbWDWkm9TQTknqJhieOSuJ3lij3NwGqe33upKvYtCp
HYJJJ+xJkh71ObSa2O7iRJN3kwTDfijG11JBYFcnT420GIHQic1JpMUa5qzaNgTJqxQ+rWjaRq2f
Z2wSUBK2neLiobTWMF43YeesCSBZcY5h/SHCEUXKtB7y4jA24UE2uNZojy5kQyw1WURNnPpK1Cv7
QidkRaXPBcZZamKXKc35pPQPtSxfUM2gF6o9sCMwbE0OcbnK9vdDSfsTsenfjw8wQQkNpu8+j6C/
zn3xKEo44IVyVHMa/+lCEMFJA+3XF5nFKH+1SmZn2XwRm2OagZ/c0L8cg5hZqTZjQ+U4uM+S5nn7
MAgM1lC4f4eO/1nB++OV5r/kh5m6CMSoTQFX0gmiMsdF6RAgNe0EoY3tYyzs3wgIfvrp8TQh02U6
TkPq8+V0ZgEuMXbhqVMem/ZQhS9F9vLrz+5n74hqmWKZyxhQfT5fIrCBEXhjGZ1IS0r6TTuOqyyi
qRASmQpjt/lN7MhP3pGpzVFinFg5UH7F3s7zI31Um/gEKWkRG1DhZs79b97TZ/HSx/3w6SJfRD51
oDSWHXCRRJIJK88SL1r++lP73duYf/7DfdA1U9NJzFYn5mU2crBU3ATM3n59EdqMX2/rT2/jy1dT
pqCWuryOTwN2U+R0XnyCa8YC92Chq6uPelv/5oo/e1vMbSFcwJaxEMF/fltp7OIZS7T45FSXsJHJ
HN05/xB8PD+sqCdU27QN7gMcxJ+vEViGYrudTE5FHa1yG8KE8Pvs9p9/dIBmacMYGjTHr0ZJ0UeO
E8fQjmX5UNhnESfFhMXAC66T9mAySOuDy19fcb6nvqxBLHF/XfHLl4VwDKGpNjKfpj0GsAk80G8W
g5lg9MMlMKjhLnBMhMK4FGye1y+LTy3MKI0GLT8lZ3Rtd2ye5yBgVtZldGX5ZKutyUpa//pdfb7k
H0/Sj+/qyyVRHuRDU3bJqbNRloVgRYDD6WL766v8/LMz+UjYOQEVfLkliPW1nQb53CmoCDtmFOk2
v/ns5k//67eDboS7DZK0Q4vu801XAiVDnaEkJ4ejL95Tqs3H2AzpOye/eS8/+8R+vJLx+UqciIXU
HDs5adZb5F5awXU1/WZ5+/klIMBpHk4VuAufLxFraeeaU5ieiuJoIekaSMHQW/s3m+rPVh9utv9e
5ctXn8qOAAKCPE5x+kKmcmAoK2murbT10+akpJvM+s139Le3pePGcWA8MHBhkmJ+kYjpXkACryOy
U9NtKvnY26tquvqHN9qXS9Bm+3HZxtrMBxpV2amfioWmEEaOQf//5xKz1ggzDzEzX95FMgyEc3DS
OtXZizLtiJ//zQX+divzHkgmputr0Xj7m2OVpdPptWLKT9R5eYtgKNnFeEAK7+3jjfzbldX1H77R
2T79py169sP93/9z/iZf3l7/PjqcX/XfliwZq4BSLQsF/wxX5EffPWT4nXUTsrBHP5RV64eWrIHx
jEoYCRpMF9JUf+SookQz8XyBczOIQQUu949Ghx9l4V+r3YcSzcFZDUd4ZqlCOf58mxuKTi+kStOj
ppqN3HtNXKp+3OWmgrokdZhU2ZLg+bZKqkvNIegYuxbqye2w26lBsilmCdLcgmrcO7o65aKMuxvN
MOVBHTIRfQtmVYLd4MMcKVz9/EOykKLZSfJmW+oW4m2EDSIdj4NC8Ljn6E8BNzIh4umhRAxR2OQo
O8gjBmQSBN5N69Yd7pCOvdqlc1Uagn/AmMptOFgM11yxNWvvkgCx905InVz3nB7SrM0o+ya9DZBr
KCbxPg3ROX46aEeMppd9niBQnlUe4az3GKS77Wy4VHnab+eAEXPWhvRibFfdrBcRoupWFBPJtjRy
jEvSIaxHBMg/quhbm1bNsrBKwkuAvi+mUtXWBqYRdE0GkS+93URbplccgSssX2BLAGThXlKybRSp
5SoFArKpNS07gOsLr5zGGe7tDkqEIAOH2VxsHWMkin6oxdrFONJ4HUz9FBU0A4uatEm7QvVM2GW9
jkROxEWXc2k9cQkjrJptoRuoLiKJiaDTaJgSA0oKBy7uywBU88EtJSe/3BvrkL+hqOK96Si2tvNS
OstrvZ+TYJxUe9Yqw1zih144FTyTqGux2IKwbxgARsDD5gDCtWrllyYQrZ4EGwFVT6ZvqBfvqzo9
EyqyttzpNxmqFR9a8Ln0lPMa1xSJuvHSIod+iIp9qcsHXUnPkh73W6XnN0aI172J3BcTcQhp5hdF
PqDDiRonRes3xvrKMDoDIJwVJdM5bFQyVtIe/DXETcMkYykdo12bB/jxAroOg627q3wKX6aBZTdQ
BXFFHh1SAVMMjXsR0e61Xug8y4WFqt0f9IY0n2hYtVqzdPLxNhyaAZJ2YdEn6xJyg2ndgzW8ANuf
L0kbRvgT5jGCjhDhFr8JcW4R0WpxOED5qTqrPS0v9UnYJu09irulOqgXjgWEOJWo5MYSA5eqNgc7
HjqfLqy+irNaWai5/mgPZLsEo7juZ6CpN4KZD4raWVQkDHhooxZMgDyUk85bHoSvmXAzn6fLb5IR
5wyFTWsxRh87muH4tf22HvOV0Gb0r+i9tcutr2om0ZqqbCA1Wg2lnEJDGM1W4oh0X9SNuPl3//iD
G8Zy+r+neifsRE/13/ePuRD4cf9gMgfHd94ikMN/2j8w27BwUwqjNJmxo3+N9Ex+BPwCXAbGgXlr
+T7SAzvKKmp5pOVRG2Bx+Sf7B5UK+8On/YOkFUTR8/ZB05bR7+f9A8NRATZ+BC6VscRueRYwD7pV
ep4QtWtO9aUbTfcBk3G9arJNH3r3mO5gKkTBwhLhxiNsahGnwy3tKKRqQl7aBNR7pgqzDiFWPuyM
oV5OLTg75UGEpFWHa4YKRy3xEP0iqfVta4Z6axMmqRpoAlDQ12zGUo8zk4a5xwPE+2zlGgq2mb55
mES+7XUjXBpWd4r7xlhVaAT4uXqYugGLv2GcQxthHulkd4XSjszo1Le4rN/7SX91sZQgZyHFWOrD
de4OPduI+dCPyr2cGNvj5V0mgJfp5nsXhT2OB4WAEFtDQjYULOED6VWcavjFoH63gtbkF5G2dNqS
JibBano887jgD+URXs9JGC9q+s0aT1GNG6xmY7Z6ubXnHkXgNBJMcT+avpXS44WIiO9lWQLO38na
aLwnLUbVu4oHNms0GREKlyLdcuaoVsh3WgK+hnKlzuM9kLHDioEpjrKRIGZD7yTSkHjeJ8K+uYxG
RGrDlMnLThjJBrFKRS8r46NiI1vU0lQRIaMVzYuUTbOyv4lJ6gtspoRZS9NdCIFWu2kjOJeeyFeB
F1gb2+nHS+5Nk2FDoi4TyBmRsMUetDHJXKkZnweWmix7r633EQ3NzSBD4OrIUetlRboBdhgyubS0
fdc94WJsrMCKpEG41WzlucMGtWA6jlexy5CUVOBp41qhNlDtN08R0KPRFa6KkltVeuYuU0nZJp8k
O7lGmK40jOOI9MZ45WmEhZiZQWO4q62NG1Vv+aB5G2v2n1dSyU7OJMI9nxz5BkFfPLmApXEjxuo2
UDkxErNIRCMpHwtDa1K5REmdcjspxXM50tISyNSB39V4w11FHnoAIoewh2zmRXTVGMkYm7KxsxVf
noke2Hpn7mYyUYwYT5jGpkbLAwkFK9gm8cpoITE2PKs5rV1G4Qy28thhsCRtSg2zg9raawp/ZWEj
xmmzZ565cC8THW3rBKx0FTG5UFeD4Q5rr7Nk8p4hEtu6mqZfCg0ZGafxmvCTSZUHo4x9qQ43maKF
KOYzHEOGl65FVt2NCvHv6gS9Y84iXtVQPayuflDC6j4TBWoal4zkKAdH3+XsuIlKNrwzJndaIU5J
VcePo8fQV4/C6GxsXcanBNqXE0TfonEXFmZYHxlAtSPBnXjH7rFVg3UfupE/eMp7nzQ1GrT4gUpr
n5nZN7I5nY1RK7af5XJeRLxzPopdS6aK4DlVWu6LJndvsGCfKi3alyg8F4UUFxw8X3Tbu+8yBQKq
HE7NJN0dw8atmOprqCq3OGkD0N5wOquWBHbKD8xu8bgxdOI1ETuZ2C6KQx/WvnSjqxAh18IJEZS1
mVEdLHV6GpKExlKhb2MR7VMnOLpGf64McGpGUEY8KdQdFDjQhuOMmVHhxc+JWxSPdtok29DowM2Y
LayhyjP3Nv25hWkLvAdW/uzVeBNztS1WtlGdRK9c23XdbxLyafZh0fIowzNZpWPv8icpIPiA3azL
gTUpEH14mRP9sKh5XC7b+eGZ1CBYyvmizRylkGAi2ai4/q6yUJZLV687pEqy3RB8yFjcAnhUmtq4
mpKInLQWtbUaOONmgBe9CurYIMUApJ03JfbCltZ7PYbEt5nTbmySo1pUh9xIzmhT5CujV3V8D0a2
MghaW6cIHNaRY6mbLABCY1KubXV7IJ6vtBZxBNQ4iGN9oxsDS33CXxvlPLV6j/4jK1CP2FEGs69k
lVLnyIS+4J1asrNmyViIClizN0pC9ZTkyNKqECp0kWfE1Tv9n1bWf4/KOp26/13qnIufapd4zfdC
B9gKVQyViaUzMP7I0/l+UCaE2Lao2BnF2SBOZzfXd8sWAiXMdaqD4Ml1kNr+UOg4H6ljBBfTPP7H
ZFRw7V8LHRLHaKUi7kb7Sdd7/vkPbfx6Yutsrda+CI1iOqs4mpdMqtkTzKUyhB0izylo0d0rhGRk
S7cJHIH4Jsdc0MbJh9hAzc7dNlZzRssh1wj9eQU3GR23HJVWITQLJDtTb0Gs6hsenvu+xWqynNTQ
xGmVgi8pd7UptXLBCm0PEEMd5PeRIsK1YxFw3w7FPTJQzOl4a5rCcRd1DYmr6rCUYw3JmZ8oNXxL
9SYp9HNZsLUQPrAMRvUKsSLWEY11SwQlZqb8UFTBmdYPdyMPO+gUCKZlmbP577I8ZNIcckogfzf2
U4cY22xwOB24bD1tMGGTH6b73PFOmsrhMANirbR1uihhRi/oVJcIDyF9MunU5yNU3HbfGhQvC6jP
BJKphE6K8VSLYlz3dodDvgViFXRV4xvONCxTdsQlhuxpNVqsqq6qr0BkjEtAD5ji3O5VMYcD7gh0
umiX/DzQXgfoTD6BEWvgMduY7F6fSLCzxNVLP4ZwDkeG+JeqPyNFtPW7mHMRhdc14cvrymn1dZAG
fq5g0QtkUO7oqxPJaYqLRBdXVdX7dCIPMdrmiLj3RYcrSHOqFZGpz+ZYAu2OumVjoAbLUgIkTOTX
Zbg3A2KVS4oUICn0AJohWchMpGt3dPCJGc15rkxokDMJvgGcCRHJ922B2RxiFQ6F0YiXih2eyE+K
F6bX+FrV7LuWtOBKlfehQIg0pdZhHLXrJhxW9kBfJRmIhCmSK7KYz2LLWKZO3C5se4pxwxC9WSJt
JeMziHwVECpnV4eAWONNZFq91UoCL6xCXFga+WoRAcqFkd5SxN7lbGGirI5KVCJg8Kj+zIwwJzdL
8Mfld73jLudCqVWNB7VsxdKhudH12fWQWqRhzzmTs8olchlXjXWCz0vVowNoCkj33qRuo76/Lxx9
TvNs7oegv9PM+sasaTOEctoUkXeEmuYrCVWC1WBoQVuBN6/3Wyclqy7VYBXhFzGa9jpIUJqLRGtR
UoS7sDbDbdVUV4BfH9DoPFYWDPshJtLAS+IKCr2p+aba3nYxChaNYnQp7GivKGKvOt5TMaGwUcNK
93WhXTMZW8fSvClrdaMY4tSrcU+T3bg2sX0u3UhFFT0oF2FknsdOqfjkCa2HOEOx5xQb0PtPeTgN
WyD927aTJmWt6/mFkhZojTKxbpriISmqjs+HLkg2TO7BU0dshBpjfnWSZ7GdrvMeL0+go3omj519
VenXWT0eNc1EkUMSgZDVRek4t6hPoj1S+Gxla8NbGntXiUmJaJNziKSBo089je99RyweZXOxDELd
9Kn6XLDmM8LFAWsQZO01pAJuHTqUoOgVvI1lPKIGEpZvimibhsOTHTUF4YVFsRps77y1qnPK1bcU
3RSibzZVOVvDLDxiOKTfJZ6xUMTbcRIPxYeZDFeZM9vLSnxm6mw4cwcF12lrIxLSzV3YAHqaZoOa
pifnBFnvR5xr1A8HKFnITwg1zJJdhMMtiKr3Zra8Ydg8G/HAkc5+U86mOGOkV0boqw0IiXVPzuY5
ip2VM9vpEnx1xWywc2arXcbJ1ZrNd/1sw4u7/s6bjXmtoLLvZrMewP+HYbbvDfj40tnQl7uG4LCl
47HE7af3b/1s/iMsI14Vo3mI7PxhGPlENQ9tTd/oAHjE3Qconlr1DovHWwSmEJUVnqHJQMBTixdP
Nx8nqb53GjdDWdg3peQLgxlgLK2sIaopLKDj5s6pw8YLLl6jY9MrsLC6C3RqV7xVZK3RcQLMv7bM
GZ/QKfpiwtrq0MdYRq66a0WKeC5wh53ZW9d6GXyLHJgrMovf8h51T2D2EAEYhmzrtLsla3jy0QNM
COhkhwjq34bQR0No7r//7yrp4ql8+ns7aH7N9yoJJ9KM5LKYfjHaZSj+QzuIWNRZ9U2FpP5pUvqr
SqI5g0vJYWw66/951fd2kPsfwG4ePzHmKQVC73/UDvogxH9qB6EvMxgnMLWg8MLe9LlKklWdmxYc
i2NZ1iil9Ibn3aOwLq3xVkuqTTA3cHutWgZl+6y2wWNsU4Crg3morSBj2VZuva5aqtZ4bk3olyzU
nOQoQYMM46ONxXcM3JOahZofa62+qlAKpoN33hvWmcjFxg29bZvoR4DiHMFscpJkOJ/y7P7atkS7
xin0ptjFAZ08QozODM8dG2KIUqbBwq2s1ajP/lQF+aER71Srh1+pu3ekr5xqPTtaTEcWrSw6NG5d
hvtw3AQDhsDR8i6zJATqnvrExbLtWYiuw0yoNIjNt16Eyfk0teVT0XCd0eo2EEJD38B+T4N9myup
ug4HTS4JjIpWjRerDQLPct+qtCP0EsBqqzveMo0qP86stVdlzyGonTlea1F29aYFdZ/6AnDSQBjV
2lFhp/XpVs5LcNh4flVHS2lm2g4i3MFQs3ivYbQPipF4Ukk6bJBicU+haHm9fV1psY1fRTa+gg0U
J4w0j25m74qetU1MHgSY2sp2NAQvbMw6RlEQLd4Ej9DSbxKotrtYMbbmGLwxvS1ISRlQ7Nr5srYS
TJ4CZ7VimlsRBfC801y9GV0WD2ewdnmBedwMyyvGH1tk4I4fWah6w6mufBp9AePRTl0AniJxLvHW
cUFlPUXxSPoKm4oVpi9SK1AsVhrtcmXSr7xKcxE+pvh4MHaCXIiWCrOgddfPOUbZHGmU4hvd2XPM
EVGTvd8rbroryUAa5jCkDi7kwtadZNMIK6u2sg5FcA0/VdkTd/saKoJklCD19lMZxb6WyZ2swpta
JWxTbfStqZSNnzc2TZDWWnVusXS7QhwKV57Xdf4uhkIuzKlnTtZ9K+uRjXiK71q9olfF4cTvgvJb
B6WWLODprC2GszxXTboJCW5tF1wCvdOmt86pRngklLum10ASw+tLdOYQdmgeHcY4rYv2O6YuRZAv
FgxyNhwZzjIbg4TqNY8QSY+dmt56A5G6uRXsQr2iRMOl6ydaFa9kIup1HBXgrNLzKCQkLQujlep5
5wWw2cYizqd3lFc6H7c4vCs/VEKO0Lr6asTlXZe6SyWkTSixrDx10lopmvJAeAytqcY9NwZ2Mm20
00s7NR/RjRxqzXl1pvowWuXFpFEWxBOdCGEdByH080LmREBV2ap07IMxSB/elsphK7rqQrVdpPFI
TsxNqqzM0T2UMeE7HaCaIIol2TvKTdw5oAXT7BLHiELlJh9KpblKAClSbk2nyMKRYNM/NXooD3Gy
UhR7O832EVxx6Mgl0kfqlkUWeefk56AjT48EofqtybeuIwztHKKD0nx69OyuWTe59G0CWemjQU5I
iJLvqrO2n3ZeGT/jGYAdpmkY1HqPeWly3WTWsycRAIMKjhZF5dzRmCl8LQ94iEXE/CxqGC+yFpII
lQ2bugCc8IfY7t++hE5L4Bc77lv39PqzPZdX/XfPZYTPdAUtBUgZhG6fRzA6FFb0iabBsGVWRH7f
c5mzAJchnlenPTG//K89FziNan1M3Mk9h1Dzj7Zcg7/s8wTGwXyCfcui5cAF5xbIj40JoGulYdF8
PMbFyRgdto5g5AzSeLfDBDFKHYHIeXpx5k7ZFVDj57HMFN/hhIn/kg4faAJ14TTevk69I8wcwazQ
fvai9Dxrvbtpqm6NvnhHeryuFJtZDZLCrMzLhVvbuk89uFH1/AylMxrroPOw+BgXvVohtQegtajs
9M5mrL42BFFLGsJ1nd18IXTrW5pxm4/TsxLAjWUZ3fZVe5vGzYmW/EXs0qVD+nOdMxoSYggvgq7Z
A9guydOoD/+PvTNZjtvYou2/vDkc6JvBmxRQHasTiz0nCFIS0fdIdF//VlJPvrKvfSM898AThylT
ZAF5cp+919bcVOCoJyE/VfydF3YulGy4Yi/ceEOVfEgQo9yUsfIk0KpJiqwwyp1zqH+LCV20dJxw
zcYUP+4oAu58m8Yl1UXd+UoztW/csi9dptkwpJv5blEKNrwhsdS685dm4vxLjYSD2yQmWiopqE/r
pVhANNoUmrPrVfMbSM7AsEetQxoKoXNWaeCOQ8BeCsbkzGQyegs7AS5TpC/WS2s9SmJH5kdcJe88
R3Bor4RVoadMiLfLgzaO6MqkvRoQnE2vxqxwMJWepzlKOW7iKDeDsGJ10gw0u9v0bXXzVs2n3TIO
9loQTVlRJraF9T7QXkI1X0h+wXSoxiHY9L2msC9XO2+FVfV1MZnWMN6ObBHEQ4/knJDsCC0yXnDP
LbPbz0IA5gVcY6fljmS4so4zVFjwZSdPBa6QzcYBN8PTbNo3RV3TqGnNb41mNQ9mQSKjMDnhB7qw
xr3Qpy1CeIgoEyISJeEOnycsz8Y4zAK8p6cQaJgV4PNL4T4qA0kfu1E2o6eTDxyQt7gUu+G4XzxW
fWpV0w0WlYE3oGoPTb1NkthZqQ4mEj3cGAJ3vMLCpW3F45LnT7mlf1SGXDelzTON8BBrsweCFi/s
TL5MMZehqXcRTZbnri0L/vh4F06p40P+WZdTf1MIgL10ej5TKUMMvnnr2RiBfDogIgRaUr/YbBeD
0IAUlyFtr/I2v+e4eIg7oDC1gCuvOtmBrN+6XpD0euelwaSxaoV9arG2LDE99QbwEqJcW/ZyfiHE
q+VGV3L3G0crL9jbL1Otejxji46ahdTW2OVxyYYz681NVn7LkErEAOayG8NtlYwSEWQii7BPTEgo
uyr8T489Hf/v7nkBM+ljd3krQlgalpr1PowekIQRDW3DfG8vDA1TlcN3b537sowORDVeFjc+5d50
a+iUuakZjJTG+xYW6q7wXD5GrGoG6NSiC2W6Z1rTaEwJpOT2D9o9H+Nnp2eXp4XVuU/s284zvnnL
3K5TZfxShRhOik4zfYQIqL1haa1yO/ZWbt9qgACm/Mucedcs470SzzV0zwFgIGV946a0vfcp7N+y
vPkSai3qoWOFQTeq6Hhz4zHWWIfa7cwvi+FuSc/HGGCGJr2rS+1rOIM0ibLlYamqo7FE71qp3Yhc
zLsi9JR1n+nnGHvRqqvjjkCUWwJt6r9XtbOshRNnrEpqGZprONiBJ61sz8FyYeWtH5rtcdGcQ69r
N4nQ9nHcX9uIQL86Gnt7Mc+TUA5Vwd8yyZqg7mN1ZS2KCW02CtK4ED7NXcG/l+zPS7Y8Iv/+yJdt
bTcVSbW/on7IL/3l3Pc0B3cYl+r/b6L4uZHAumeRY8a3CQbcxIX3n3Mf6gffBPsBruFg0z1cGT/v
2mwkyN3/+MOYDP7Zuf+5cPjDVdtV2cXZNnsRqmUxBf7x3CelURCXndvLTByVN4iOAs70WLopV5q4
vCQmzUyxE59tiypBYOO3DU/MaonUqxGa16wV3yu1pqZ1ivcEGQ+xo23gYhwzDGbKsNzkJdWupRaQ
zOV9ak4MDsZRBVCwMkRxxtm4CSPn2MXKppqVWwicD85cPllT77th891l899yAcvncp8h/saKItdw
xt5y48d2Hn309VuASGcxJwEdnOdJtoZ49nS0SW5bOBBAjTxYDd4j/kbrvB3fvaQ/hSya+9Z4NaJ8
O/T9TRnaXOq9w2A25zCOz17F/noxgTrUZ0GW0aggf076E3CXXaxRETvPKyWrLqmWgmbU1sBSg6Zb
glgdXryk+xLH4hSNsz/gKjBHeh1z+9zCnWZn3LWedBSOwo+FuFk89y0kHQju4ClNh73SecFgdUht
C6vENADJvLLr9g4MPNeQKblIYCl+ykBL7QerK3bL3F0Lt38v9YnCi/Ich81xsIsdYdMbakZ3ouFe
HNUfTlojvbOTCD0Y3ubViR2GLwKcvVOyGc7HUyYcZaXN8ELD7M2ozKtX236c0EZPi9ZFKP0x0otg
iYZ9S6Svc5Rr6gFtVsNHU/rYPIO6d4hjTcw2ADcLB7/a+E7RnBI3Jy8+NtNtDnAuqBL7zYF7tK2b
aevWFt0iU/2k63gPinF6L8mJRByvkdqsu9kbFza+bpvuUsx0e5iwbXoxlwXDWmrapbElE8MlTRv5
7U8UpMimlKqhGEBx62tW9fVNSarW72Szikar/GmyliEYZgyGwN65zJYR1BNjSa+6pm8zndg0TrVd
WjJ0oe4QNZVtLqUOpYuyYBKpNWuZXra+CNn/Eg4Y9zoqYRJzbgJe1dMqNBDTF9kcw1IDA0vUPaCC
YMezMQGlOcQPFxj/kn6MsoHGU/R7hUoamPgBU/Vl0a2NSWUNFscxyPCzmPTZcIM9sY5+Uka+7tTK
3hv+W6wqNaeuQSlOIstxKnYlsi0HKadnMqNBh8OfQGJtvkdsBVcqu7JV3TUigGVwxpcDDWFKv3kK
fn6yeIU/yKaeTHe/R7X3Ws76A4bw73z/GEsqtcOaCOndqIn9sxUH8FoCy0XwSlZDre1qCoIAX10G
CoO4kD6a0/whHJUGVPcGRZ9thSLWMCEfk0Vfe0XenOdwbDYwyHG6yGaiiooi2m3JR6AvrPV4gM1g
wn7BeP4MYI2fclN8UyoXyWEaKSPCMLZJs2kfKvk2BUzpe8uAKwsFIu+nS6I67+zk3ydzQJifCj63
jk1XDTlhJ86RaVoFJ5mOS5Gdf2Po27DSn/uGPQavKYQu5KdIdCthJ89zxJjuKebXJGwKoAisd0T/
rog26HSJCQ/VoCnDJwPmnD8jQi2wLn0TwA+FS7qPGRriTlvfx6NRBGpK1m1iX4VxK3wGXixgcYUO
ny9jg2bJBcsbeUSTbEaZ4bGENNHx7RkfhcqMO4SRnOdpCMzYDo1Fs0+SxeZ7G26YQy5TwRIC7jKe
EWM/xioTxvBYqupNP4Jih9kCQEBhOyUgs2WxejdG/cEq43ttZkNAoXxQEqNfueZoBPakHBNUH/AQ
2UMbm0wTRe0EuVOzuYnjrNy0YxfFvlKFJoQKOMkKWae9STERfhpzVarUZasLdjVQFMmq7ApwfELn
bjjf1kVHebA25bdJBaz931nkxyyCT+B/zyIreh/+shqNr/xlFOF6j5cT1Z8/Vg4Vv4wiIMQwJBAo
+5EH+F2CsH8DZov88LvT8/dJxP5N4xqMwc4mB4u14h8V0VA482cJwtMtDTou1g2EDvylfxxFOjFb
Fnqfgn+5oP+l2g9JSD1SbsMg0/oKnNa8UyB++kyytyrSMWt27NAjFSrj3FcBt1lCBWxra+yAPgNZ
tdLHOQyaxh2ppevex2J6BFv4WqvNaRbGnpeCe6yLvF2bsAPD2uAYa7eFhp0h6jGQ64h28Eu+2lpC
H7ndUVaj3nqgtFajG1rguFoKEZyPybSnTTrW9L/Tsa5RTbJkCzlThXG+8JpnU1CYkWg1MES2qmlU
s1iuFMCJrEA1pd2OmULJV2hAWxSgMxcwKgFKIgvKEb9qEE7ma50PynyLwdEdNtAHRpAclTRQE6hQ
a/QG6bT2MFNU0ntdSxf2IP3Y+Dh4nc3GepBe7UyatqV72ysxL0g/t1DTbz0Gb3yGtNtIz7fRn/Ph
Qe8o1kD/8QAEQ7bldnPnSLe4hm08lf7xySMXQQsOR2s1HOyw624atXxv9DhtAbvFlboGeEg7nF2Y
+m2TRbRvYrwKxhkyZIyy4HAa0vOoyua459KsHvEZVpd6maojRXSzrzjeunSQkqJ6X+bVudO6bdFK
+L1zM1nhM3ZmhtXMmElCpxtRmupeEzI7wN+bGu0JpoRd5Ss1Xwyf7+fJjfrkZkicaM1GGBaNFip+
yDv5Errqfe7miEC1gwvedg5mkfTcZscmAaGm6Pm6zW3bXmuje1r0+VbtsAGododFF088Dgz1LoIP
ETZtyZveuDSRt1EmHbKafWulzj6UDP0BrJi6dMHQR/e9W1wmb9jqkw4mROWMpzqiG/H1p5bYm0X6
ZDnVvVOBn6RlDRNHRFNSt5tEdF/jGWrH5A7u+HPSazttwkWQ5nHt26jEoN0ocRkAhaoay/zJmY92
WakHfuW89kX6PWUsG1q+N2WOLIIOI1B4nazKgsFxsV4h3KFnQd/rRX5aovBaWE29nxmIjoZi3iVi
fC+Vbl10963QNJ9L+m0Up0GNe6+sl5vW1kBEpyMMhHTbJe0OLwQOTpzQ1Ki8FiJifeJgEuzZUhhN
DUklYuGhYHpp5vHNC7VqrdJlsNgL0h81darLVDgeqk4JKjrkddd6py/DDggM3S1RfBk186lpx2Ns
aY95o2prVZ83Dc0kfpIp51D1tmlRAmzD80lW9n0IkVwQ5o9ehLDJ5u2Q5/xnmncYe9GvxrbYU69+
HCQSwiyW9TQZBhKcBSPBHXN9o9GW6duLUhbXGHeZToNE9JISGCmtVKzgRX8sSrfLkuGFqh/UpWHN
UmqbGu5r75anQuDaqSiaQ68Dvmrs2qh+nh1p9C0YqUYTOr8urq7WgE6YUHva1nhORLsfAT3kyhBi
EjNvDdgtbE5vdZyc/rwMJ2sYsa1a5TYs8ZZ6bb2LM2ebuNlTqmfHSO0eHKgsqxzYYR/LsqX8FGOQ
zFTxlBXmXZvwuyjq4atZSNW2PWFbopeyEPto1sSKbpRdrnMj8PQrH5KbStCsGLf9pQtZgDm4QgS2
q0JvQFmZ+Wbo1C9VPh7Awx1ouqIlalT2lJnsVGKcPXzoYhl3IzOYt2THyeu3fb7c9kPWg3ptTobR
Hqaaj6xLF2DR5Q8AlF8zkFNmY+176hM6s77B3k07Vvw4dMmd5Xb3pMFyHL3hZrBi1inue6bWwA9p
NlqKah/qWDb68qZcdJ4wbQQ4kh1oeHmdcuPOk5YyNiArrWpUP7XVrTkkm7KuLxZIwMRxP/6dTT5n
E7nJ+PvZ5EKjfUQQ9EcR7P7b//0/2u9f9XMuwbSJx0Tn39Nz8CNn8nMuoSEPsZzmOMIhlmXav0gk
Bt15jm3BkKDL5ROm//tgYvxmuLbNP/yxErWq/5PdCLnCPw0m2BoMYP3MTDhkAPczN/26G2lIXiSj
o4ZkzDTiJUueeb4GE/qgTI16KJ0Ob76izuLVTOMbbswvVJUvfu2kX42BFh1lxAKww89ZDOvGUNM9
ekm9ntKElR42z+qRhi6uEhD3uohjEpyyAv+Qu2NttG9cAJPvPRZ1OjVLC+G+Y19awlwt0ZE3Ma5Q
LqQ5TUh+3ppwtdsU5BQOQNog2TR2n711WVLTYZfKOrupbT8Ul+YrS1bdWUk4QDhFbHU1jHTSZ6cY
rMXBfZE7mAlLxPTm5ULjZK7wVqgYEMZbzViOMT17BLSPZpXvNfr3piRcfMtuQbDhCvCrjmZXvTPj
Y23aW7VWvqRoo9c6dA8kdBD9Zc1f5HXAkbuKkjhlzNazneJgrBWyLY24TH13UbLJ5QZNNGQ2GaoY
btYxnlcqTu0ezGVizO1HZvR3Sa7e4XcpLH/I+/KL0mTLyTDxtDX1Jqrt+Bmkv+/0lA12YQF4JoeK
V8Uf7LZTX6+ZCfTKXWEQZatiFHeKbY2b2kVFdxpYUi0rY8xz1AqCFyS/xxWfuTHQtTK+DNHI2oFx
c0Vp56aflOpqjwTnbPBC6tyuDE+Uq1rHZpIoJ0juGyQ2QnmiNh86jzY69gOrFv13gxclWbEQ8+kP
5ByvnfqFXA+eE03Bx0H6gwxAN7fp9pdHkXctLMDy12LGPwXgZX8JhUuWjXeCxSSenz9+sOnrGdWM
0vazrsbUEOej/kbDj+szptHP+O/77/NNZv7P999d/1YmXf4muv9+B8qv/PkOpFCE95VDdhqnue38
AQ6tofhit4LG8XnLYgf8cz1MN7UsAOHV5BCfs+xf1sPOb7zIeBhMgzuawxL5n7wDDeOPcAaZ8KZA
jm+Bdy0kalPlW//1Hai4ipG1hLEvArfFcsIgQpunZqqpvu77ggxT0gw4VXLrbJGsFdKgJaO2LZnb
QWPnx63q2OjtSz5XN3lXXhNSur2M6xppeOLVfwKzju+JRC+5lCigmQOGyviER/M7iuq0qga9IyZn
V7cWyWBQ8aCZFxLRIesSqHvAjPv01JMnpieT1iljKLV3nbA083CUE+8ZXG2PDt8mN3pm97gssJMu
K5XOadBDtUGUJFRUaojsod475Eu2jePd2DnB2nsj7LkahMWY8obwMOEe2zTpXtIxLAMBcVknM06o
2+8F9lFiX9xdPasDitlaNCp/qpdZ6QzLuvlUNYtPhTNH6xS2TFjl5ZMjZVBauLfupzCKQlqHVRg4
UjRNpXxK8fApkYKq3uGFwykEqYK9W4zqWoXc11BhlXbZ96iyg1P45TAyeJUBO8zjNFrU3tuUW6Pn
trl+xQX8VisVLXUIvlUvTkJKwA5aMPjEGqOddh2EsueNsS7D5uyiHutGuyqUcccMfDOiLkeozJFX
ngtUZ1G17yoqtIewpqNKZ94QxKjUIb00NtexVZPXdzk6tlMmQV6r2xF9u+1ZlE/jPkX3LhwbH5H7
5rndTS6FcQQsfZ16HyU3AhPl3EBBH6WSXqPCVt0pRGFnX/bSorhLoGKNAl+yoSCUCTtyXnnWcgYe
uutQ7BcaqwcUfJOrAL9Lv07HDcG4c8q2sEPxxxoLUrm/Sa10W9vqK11mG5cNQW3071HFykD+6iPH
uycxQQ2ItnXZLWhSYhVsG4QeB3OTnlubSy7biH5RHiy2Ezm5UmTzKqBEct+xv3AB3XnsMzxq0ocy
fwLU91CpMUO5sglr62iwB9HZh6jpkHMOa8eRTcnANwEpVIMCrR1Ddimuo/ltjBDPjkVJpsPIzqXq
GJfduf3eOvp18KZrK9czYTRYtw4bm8QeWd2E5mm29OLS0kyzL9hoUuCuVwY36IGflzU1F3Bmx1Hj
IyVklHHoFL+BMsXdzvs2R9OZaGhgFsbRSaLbqentYCLBOuS5ExhN80oknI+fYdMEg0+hAfKoGCFO
4/w0YgrbuIW4z8ZwbSjS7m326LvVgh6fYb82CpCoSkyTdj0oJcKvdqJH4mriqGa3Q8glnfiND6n3
Ja2VbUdfDmygalfHmeIrnZNuKBI5EXPZEtv0LQ95eMTRx6eD35auI3WI7guO9dkvze4AuaAFy9od
8oJrRZgdjYaFsyHpFJjbdT1BSyq+1mbBL2NRAhxZXGbDmR9Wz10+d/dVnxpBW6WAcyWYIVxYUymY
SCqV+UuPLaiXSX0skhwrWa/4hV499w7+P1yCg68Uy1nIFUSWfCNUB6TU1XfQB0m0JtjJy3S42qX+
2DO/KVa0cxWRb9h71T5hgJMFrhiZnjcAsJfa9+qS+aoJxQogb7NJxXysGnQN20gulEQ+DLZgeRNP
95GN0zNm6CilncHNQLHzo4mbgs0BVZMebAcoXyzETUsZjyRW8kNs0cD679n/4+xHo/z7u88dcbXi
L2xh0lz1+7mv/8Yxbf5NKYTFxcO1dSJpn5veX859qZK6XIA0Exy7/AN/roflSEAhGF4ydsRENf7R
3YfN8h/uPi7wNBAAnok/zXGxfuvIyb+e+zyjeZ2pKWhbw0J/s1weIcOwxdc2BWViZtNKlQZDJcRq
mGreY9hDPQulDdGynHcmgzt6XLwV8nLAexbLIt5Foaj7Di8jgmTkt9LeyPBAXTKeR9CXr/AoYIdI
P2TRNPtmYJeyJBejV/YFxkmWCCtNOimF9FQORD5WTufuSuyWy6gEDvbLfrQrv8KQydIt9PNkvOpG
z2IWzybdD+yLFY3EiXKvSF8naH7OKKyeUWgf8vQ5xwM6SjMoR8K1k/ZQ7Oi4KK0DsMp8nS60W0or
qVqbNEtgLgVzcVhwmw6lOLhd+K32KEnV7Vdd2lJNaVCNyvA0SstqpCsvIx7WTppZ27lCSMbfunTt
Y4LfNeJUkJe+xrfz/GHCEyukOZaig53sMZilbVbj7xDio02W+q2TxtohzJI18jcNl9J2W+K/DaUR
t3WLhxlnbifG10JadTM8u5PbbPtPE29RyJiZtnHx9zahdcl0DL+yqVtIC/C8eI+p7W0E3uBxiLeq
NAt3uIZLaR8e8BG7+IlHaSwecRgnMRjiQZqOGy97bKQNOcv6Zwtf8mg3ABGlUxnHMtD56Ejy7ezF
ZhyUuJp5WZM8w+fchR5d6zifdRzQqrRCu9JNONqCtmZ80mXk3EXhvIUHMK2LirxOpdOuYyjfJ7M+
LHa5sdmQ8u92ZYUSag6uS99I0iGq9nD/0vxITfa9fay0jKo4h00ez1NA/J9OMdF9FFqzS512aw94
DnvRRhv+w5MmmnVdCWxbGRabQenutKHdplb2Ys7a1otEtMLnfehoRPX7qjKDsizIU8bIkF22MXs4
PwvwhFmOVYzprp8t7an2IP6mRUgN2Gxs9ag6ZFQ75B6aVea1t2Y23qRxn/pxO59bj5+9GR76BRlS
+cTUi6hqn+KyJ27zibG3JdFer4n5U4stSfdq7TVX7u7g76l9wtagbjIlhkShhx8Eq76HFpzAGOJR
qcJedcrpsbPb9z6jAbmuqlsn8rbwUm81SIyuy5XasL2gnhyYuc5AAbLablyrP2u0xfOXq9eNwxRp
TOmu6icoyOR78Ic5C1DrrvDrpAh6vBSGPb+BygmaaXp1Qxfz9/zAL5ra7FTZz4lyLJt4y5G+LznB
benXT/PAI01IwfEmc6EcTC6eTXO5Mer+SWtaJsyZSpZi2gy0MK+MJGU0wfqIs2rlTc52JGBQ1AW/
kMeeW/M8CYhPeEtRNhMF3gTzeDBTuR4n3jOFNdmqa+PjUHMnX5rE20yFzdo2o1+vUalS9L52Iz46
9N95cnBxUCLHIvxkinQ/ttwZCh2eATFxfrcW1wixE137VbTDJZ3g0KfmvZpEmK5nvFtUwnDUlmuT
4rWViruN+cXbaJl6Z4nwe2PD6OVM3vde5OKxGHZa5Ey+0lg70yiolFsw2LBRTRNLzpTgLkxxGp3y
ANeKlATFYGbkvuS0vPQYx9mKoC6oW6ygWPWGJ1Wv9xLXDKDcWdNGzftvKilItKurIUiAJkt7MdWI
WG66k7tpIFzn0F7uGxgLjd7fhrq4wWGKe9ICROLNwbLoG9tuGey0PXyOISBvu/AWNjae1R/Uctm4
JV5Rb1agR6jvedjpK+j1rzSv0ZiG7WmvOdEXTfoSouhWW9yj586DvyxKsrHpTlcZRMBZADqqo3RN
O5b0rlgCssX0xcgVsq3zF1i2H/ASNmVR48To113rKhs6qmkVV/rL3Ndfesd9mBIR+4XFLWsqLA/t
Tc+fM4AzQVQPHylFOfGkPuai3FNGcIw9NhqiTa4C+UdP2g8rmqEm07lDqfumoYQn06hTYFf5yBt4
3ZXWbauEhFxkcY/dPk0No7ls9GGd59Dx7fo9ZT86noB4si5Amw9mz3QYUgsEfpJcBY5mVHI8utkj
sIgxCzSlZMJfIFW7FArlarLXLZlYkT1DE4VDJg6rYKYpIegoI/Jok9NkOxHjQhREFBZNsrkoNJoP
B3kd53J26hOSC2Ke6Dmqkqcq1Wk8069mxlpwqMzVRDWS5epBr3o3wMQunT3tF9mh1DrsAUpqlSbq
lbii3+eJnoGcoHgpx+3jzuNlkJ1M5uLeLbKlKRf0NbWyucmSHU7mZ5vTZ7FTocmSp1/mqb8QsHSs
8X+yrdvwNFS0DyRg1td/Sop1DXLF7BneRbsrVs/Q2740Pvgx33u7v3an6iZZV36/S47WFnT/jl74
G0ZreGM/hLR/cw86OtDfD7hf8rev39v/FrbkV/0+4MrcA3lTdqQWngOZ9fsp7uN/BB5lAudF9vpM
Df4+4Hq/Ab02JMIBCJ6myp6h/wy4jkbakB4aaM7ArP5RiS6n7H99ghxLkq4luVCX9N4/DrjDPJIm
Mp3x0lNthGEne6qG+epUAzWEXnRhMki/oh+Xq2Q27ono4qA3FBJczvihxOqGT6ZJwFZZVhGle2qZ
u5SzQCxJ2vC9jTjKptxpVxS7X002TqQRqnA7DkheBenouHbehZHc2cPyFJPy8vWcWLBemz5PeYHR
r+bAIwFZODJv7JWbJdfv+H8FY89j2RLGJdI8axQlYHjAnHnqM++BHmEMnFn0Le3ck9mGt6o5XeKo
21WOvPCzq9ZjVd2A4SLRbw5fJt2pIFfp9srR4ZZAg5dm6RWZDd9oOOIItHAxxuSlQQTaeD2vPAIW
7lrg5FwbWbi1YQyw5y3YCNTmfevRewNMSxjGWhBoB3EEPDop5v2ipabflzBdSJ0/Wt63Ao2r1SeZ
ZLvBt/ks1CVBoUHtMw16CsVMyMMeKLS0pvn7oGII0ZyNYygUuqjxY6SxwaC+zWd9T4sqZAqyXiTX
HEpqnLPM3jEqPVaK9S7EfIA5t1WyJbApS2k6bS/C7JYBrFxFln11+QmFmANWSkUfY56fW9O72on6
nk2LugJXjldc1RYGx/Gh0M2X1PXOLA4QfIbS3NRCg5E9OQctde+pEi5ZE6uPyZDmvCjpRDXCh3pq
zzXW7KhFnOny/LupxK/ToNzXWGWneLpy69+otvIslPQr+AOiJvgn/LaOsKRJm4He8TKf5ztV0BHZ
mN6JX9NxTJ2AhU8Qmh9aba1DXTbRimVTO1WHKEpJckxtRypNc5GzXVIHz0pZvRql/WLQaOtTM/lm
ipHPF2wmAOzwNQfOP23IvyE3PXktnjVTp88jt2+EPe8qu/82KCivemzcW9wcIvYaAEuaL5o69gg6
lPOSawMihdEsUGKaa2aDwY2k5GPa80NaSLqsLLIL6HH6tbfrtVcXVHwUrbemi6GGyzZGZ11Uj1P3
kjd7g2fupSAuW0mwZhyxLqETFwbBHN/OY+vtw4yNdOV0E8tbrIiqGE0go1oKOiPGtabUHwRGew9p
q+nx58dhOq/7ImuWh+EzGGMNk0tkJQIWdleGBjETJTIeEzNFeSRYoyIl4oPhfCxN1tYyfOPiynVK
bwuWg1yO5rrcNtv8JqlNZ11QagEj1HipBovbqAxk5DEfaUqGaagjbZgAePUVhuLI9aY7F17Sqorj
yxQv3+Riid4lN2B22agEinCzsPOatHBd2m4cgJjY5I5znkxzRQMpzRHuU0I8KXYtDBsEluy+3ycE
mFqVAmoCTXkiNmhqdMwSdarqjq0i4SczLqNzThwqM+07frraFvbTuUsJqxCc8ghQtYbJai4c3zvb
fKwq47lQHfCfhK7S3CAb1CwLbt7k0Ypxk5AWin3X0M6jTG2VMr+VxflRJdDFv9XhYQAKbnqLnCSp
L71R1q2RfczEwerUeayb5MTW8h0ht/LVwrnYXPlsUakrs4kNTCIj5Ko+Unw11N7VKb26BND45WGU
TAFJ9pnzUAzDyBOCUGqNbrxu3CjAo2EG5NygqZGBQLKDgsCj55CO6GJ938m4REJuAtYL2SHtBrPM
AXTpkf4wOjVk1CKn+5XKPoqwjaRgx+AAJjULDSsyKQ0lpm648pp00wsvgWejnksZ6hhkvEMn54Fz
5k2ZCy66y4MigyDaNH+lbD29m2HA+u047urOZFyfIUM4UfN1rOhUVFoi1CQ3HhLXZsavvyYLhnla
h4p7Mr47pdQfKFgq/BBo3ip3Qsq7cU9xmeK1Me6dog4RUATNhpwOdQ/qYST2WuR81rqCa/wqVyOl
pchEQgTZNnIDsb2O9pq+8171ouud0+cg8O9EJAeEv5+Irsnwve2Sb3/heJBf+HMo0szf0O1MJLyf
yt7PmQgvBFtAnQDmp0VTjks/l3107/HxQw+Ei2BKQ8J/ZiLjNxMut+uy5baAXlG+96dWvf/VsvfZ
VfBrJsQx0A6BhGIWRXskrPrHkSjWy8EahAHdqWqa2jkqOY1BXExNtSvUwDPT7OIJ3cgC+HXMIYk8
czRIQQ5PK3BhF5rfRVSNgkl5UvaWVRonAQoxGPWuPJCAKu44eMeLQLo5Slfr1z7qxxu9GLM7Uxvb
g1nh9vf7CWOinhDzN91wo6UtPVsOrXyvTC8E1pSBx6fFNsdchXNfwzmWl9b7wIr9QzGS5ap3diKo
OIItXc4aXkCX2EptNwG+Tp3zPC18gi3Zl6IQ4b0ODfMqaiWP71QEnqgDVaM1y55UPkHHFgsKRdSa
Q1yA/6FQBwqsBowrLfuf0a3mN+4ow21LVIV8HMxogpQL1+yzbddcXK2kSR8UXOwyWpk5DhhgKYuh
HWA/sgaaAUC+GHtzKPr1wtgbOAsRPjqJ3L6melfaPtSh9awDG6H2Lfw0hxTSJ6J+WkaURtpH5qQ0
DJpFu3Q/x8zNQbWY10XrBmenSxdKhR2lxyt4U9sEHk4WBYd7t0FEuC4pQuDcWiVeyZgP5ngqPBYP
yr93pB9WJukX+vs3ggyKrb635Vv77S+bN+VX//Ja0AwJ1JXNONYnou6X9wL7dxxNqsxpOyrP5M/3
gvUb1Ryw3C2H1tQf1oGfdyXjNxdClOvg8ZBmgH/m0Ka94k93JWpfMXrbXJh0S2Ur8ae7kjdZChqZ
EZ+VDLHAkp9Xd5lJHsrP8PD5ce6bvm1ZYSp8zElA8pEn6NGlD3OaEXL+fChK+XyUDT2vKuFOnpvp
8xESP56naGoWni54Y3gMVs2PJ8+Aqd4gYctHkoe/5fnsPx9Wt+/Bo1nwFdhwOapNMG1J74sKE7NJ
wlL380ylV1GjZgaEeRpv6jrHSYRjagcum/nMEs5jqQ2gbHGrDo81kVNICVa9zL5ZLlrOlhEtKUPF
+WJkQ83g3KQvilWjyHka0DqG5fDiqFpESM1NkxOgEarxinApIt9N7ND3Kh1OmVr4UCnFSVWc4uzY
5XAtkLXXLZWgpp845bATSmj5Im/cVx1k54Jq41ULdl1hTyvHTSwUWCrD/h9757Ucx7F03SdqRpuq
NrfjZ2BmABAEwJsOEATa+2r79N8q8kiH0lHoD/3XupKCJNxgujIrc++172k5YSYtqkgOZNwvb4Vt
6FGwmLtyPZuogO1dH8gUGpdw+qw6+oOjMMLxC+k2CQysF5W0lgWKlsG0SIm3LFm1x5xWnDzDop3x
o7MswYEBJP9srtto75lquevaIf3KFbS7C7zOA83mWuiwUHh9Lsb6NnC6Gretwat5KY1oMLdRp13c
UVj1zTG2rR42aWKnLxlStc9TgBcWbXjPTGsszSQ/mE5J3h+mrTA9NsjXp1PhEcj57o5+9M54x9v3
ygl3eRJXDfAAOyantANQarQenXHSPccss9tzYxgBly/1r3TpPycX47K/P7k2yXv0F3HBmsj0+6Hl
fjJ9C7ztT/KTRlT8cmhBlPADh1bCd38wL347tJxPaIq03+S/hpPfDi37ExYVFEjw5Ymc/4e2kr9S
bwoHapXjsBLFiWtqdecvyM2Ep76Lc+XcWL7LbUUSrhCpde/K7FQkvHnhTwyL1w4rYdb2tInLeXno
mUxEXJWuHfCYr1lMermCTGM2X1Mvt6wLUAawUumAZXzVDWVwLiq1nCKnz5Njo2b7M9ZeQx6tzsRp
FgRMoovQCU/Z7JrsfbIstR4SDx/9FcdV3r1hQ3THG1YJrcQghSfVLfN33OQwA8ukx6chGPDsTV2n
gx8lWzWzOorcxoqxLFw0tqGWny7CwxHoNbF5ZWt5ats0KSDAEhxUPAXNum1ate3NObmSahbXYbjU
rDnJx0S9BgmRW1fIxQ2n8rJG/9dfYlu+znP51cuiN5Q6xdYTAUsdV77Xqnh3g8pi1FM04jspiGvf
LNd2E43HcjHlTmVGT6BO5K4G20yS9Zj1FginEYoWs6Mny0jqTYAo5G1iM3HonNI+xkYYXxuZzdzL
ahngND0z6Lpu9kJvQduBx7rISlDQPlbRqWVfFjBH45dbb1w0i93YhQBTiyu/DwipClsPzYtcjplA
1ZrYZIAKtmlsiYpVGzHDdmY/RaeKQNMrs03tB5iNYwMF1nLILdTwdFl7TIrs3TrEElEIV5E4yGdB
KibOzGVYUW73lRVMq15NiLfa8TZz0IOYyC7WQS6nTStJaU6N2j5D4MoekAE796Xrlu+pKdpT0STl
E5RIpgJJQ7bokP6cjf97A9PaxL8/tW5eoSVwQpGHp+b/as71B/52amkEHrsBptKkiXMJ469+O7X4
K2INaHGIx0GY8Wur5X2inbI9TPuuiSTy1ysYekvTQ0Urrf8PUPCfFefIQQIb15202W149p8bLZb2
fVO4LFfM6tKSLjsz6fvlRfmLzQk/3y+LE63roFVkIi/5CfWM/U96Tnf0Mqf3+v7cifSUeF8M8xzI
O1RzVngZB/xW27//etxC/x9fUX9Hv5zDNl6lhIaqP6dMQtkcReBp5q6yGeBFVXc3tpV/GhRCCjdj
pNW5bPRJGWjCKZTM7JS3TaPS/TrZgX10Hbwnc1OLjdVVDIr8+FpWBC34drauW5MhZfYRTMazDq2q
YDGT+87UMo1aPfOENO/YMc6tHB5yESXRQWTuviOXeIdkxUExnlT7kFXZOmF8tfJaCOmcae2KyygP
MSTTPrn3QR0E0kF7kgzXRhPyW0oRkoZMOxuALWJG9OWOdyEsPjbCzqGqrMvATIsO/1iaeOqyNLqq
mCsjYXhsQeDDAf06LA4A0PgwADDbWgA5E0VyQO2f4kROq9itxp1Rtx34w/mm6r3lwWNfh8FZ0vw9
VNDkD25T0yaWzaFxY0PdLbXgD/qinapzHolrxayLxJuF5rVTy6bonQbHjH/tUn1Q211jgTtOGZUo
CG8NM7udF/fJytml68ZqRb7IriX7mfin77lRye0oxc1UixOD582Q1dcqHNmTzkfYwheT9QHyUXrO
+Xqcp+veb6uNWgpzHcnxqhvMpwbyohDYHItyeQRXHSGxnQmf78tLmSmocxyoS3YyyY9aTWgzkdQR
M9FMPiC6IWNGOOdbpBeP1FtMcIYZ7eyiBt7Ujwq+u01mCOCla/TGIHt8G80fXvfxLGL/vutba2XR
E6ziuN1ZdXEK8+TSl8bDODBRxb+0gjG79ZNg5RXquxdTayw3vbOjcRv0Rc8s19oArtyIdL5TfUU3
CgTJRSMwtsMOwcaG9TtDdXNTVRVrUXEpwgau9MReWeXZcD/N8T2jkyMbnI1f+8/sYdcTcs3PtWlg
b2XlXLKcYVKyh5pFhWcPIhDeMGB/N1kfl727aYSVrjnBjnaREk3kJFvXGNkkR5c4GW6ETOHGFbCa
5Db3SqDe4VXXVYeWzX23KFwkxi3sTSSOxpGD4m7GH4kBFPyBI8JdEzhfRNuxjTIKAjHYEZOsPB8y
oOLHNi93Ne546qdxyrrlM41/vJpzBVKgekgHYjjSgbd1SOfR+/Zr0KevqeffVE2OGDuFbYmjbSaI
Yiwo0oN/+HHM/Fv0xN+OHRkykCq3zl/b1/8te/pDfy971ieMHhbzABSjP5anv5Y9VHjMDhlMwoTV
DoTfmnX8Wb5wHSoegkNmR7/IDd1PtPeOHbg27xNMXP9o8shm9w9FgnKEzYDJp69VjXw1/U38WiQ8
K7LyvJUVccd4iViKaDqcpiYQfLOyp8g6jmG2yx1i6ouS+QBUkJcCT3CBd8/HUljhFfa4cqbSOC8G
6RrASdY5iVPXBJADbEnaLzOOYz+oGZ53iJ99Q22HOfvstiG8V7XAtNBm5Sr17qYIdBPB4mltbnPM
M9XGlwRrWSRsgQwdsDESuhWHMWguyaFUmiqGJxsQW9HClY7mjUVq1xJW2IpNgrx6l0gvg2yvicXp
ap5hsTGCl5tY8+uHwXwcdCYYC6pRh4SpQGRr90dwWCvfXB0lVutQsUbHixGq8QOEgSuhTN+CBFDJ
rOPI+oKk65yEMs6c8Jjr0DLwPtuqhEVram2v1CrfUOt9WW+UhJOljzTEuNe0KpgSdq5YGOkctNW4
4Nl0+89t0pB8gqSYqIFzrTXG+IavxcSWytH6YwTM/abUmuRRq5ODltc0a/qbuk5h485VvlsGY8/F
5iQRNxeInAPiPxgKsZZZRuvgaSX0jCR6QBodlcvtorXSvVZN92n7nGuhTF9pNGd9jasEEYzWWkcw
9g2tvq60DrvTiuxaa7Nz20XC495lWrXtaP22vUTbRiu6R6N6a7TGG8gLbDNihRB/V2YBEjU505Zc
OVodXiATbwbeM6EWjieuWvlaS24OBPcJxGldSeACcvOmcW48GYMRCiq08lqTnlnlJkOk3qbGJdOq
9YWb5kpqJXvvu/e2a98EdV5t23mY1kLr3u0fCnithc+1Kj7NTI/dU7jtoo4ZCcr5IS1vIhF+nbWm
Pjf8fdShspfK/CKQ3adO422sPMWCgCLfR5ofjda1hVR/QbLfIN1vtYa/0Gr+sHOPUZNYKwhO16rv
zknVNcZdVXn58j5PeXbwoKQEWf0FIT2yWoRmnebOlH1Wn1IVvFSZea9k+92vZ+6RuNqWaEc/hkNg
PAXK2LWmfVXl8W1SVacp7W5LYlWHMsvgIsU99bgfj24oPxbX6OnERkfskz70uHSXw/Jgu8tN1NDZ
WIh1d5HudkbH5euKPWSZ/aj7IaB6hAw5l1a+dLpfKvrgsaRSg0y+am1CDAol4Z44q6heLii3gPOA
SZllf8dhh1ZCbWyYqfABcdqFNGxOp66ZwiKM9dVVRUvnWd46nKOHhWU9uTJ0fbHu/+wWZbMoAO0H
kUUDpPtEh4YRxx4BALqHtHU3Wem+0uh555Q1dKFSd50F7Sfc+WdPlB8VbWmh+1Mck18WJgvSynTy
Dj2s1N2s2YbeCkrTN59B4DWw65tkYps7m+YFuSsPg9dYZ5Js3h3gzFtzGd/7DtFJ4U73xHfVR6cc
vlpVsWuE+Twn3g2aiF3QFfGmoGNe+6IT5OdETyWzN66v1HB/hihTbcy6vQQJUZFgFBbdxsgmvE0h
6m1IBTiQn6EFYfLRh9zEVx7WTiA+W6a097FEZLA0Vg1RIZ22jWHfTDwGF68K7mlID0D62XznA9D6
nLTgOrVWScU2VHpqw8+asL7tBN6D5jVu2LurmQU4uuct882PKHhLau++U859xmtCHbBAWZNCqXL/
Uih7Z8bIIMIhwwsVannNMjJiGNJ93DTAtNKcm4UCKcyn832WwFLiYpXRbYwrnrFjMlwJwyq3/ELn
g7Sn+6nEdV/U8YYQAWvT+wg/J/D29KzRcaogGhpMGeFRMuRiROt9hQGRHDmOV9EEHCdCU2nEzYOd
oIWBPAg2zO23E+SoVRB1b5mNmtnonD3zAAa6TXMTdUiUbbt+6OV0zVItXRtOs+9BOcusvh0rpLe1
NZ4jNd2bc7U1QmfeMZW/qprgYFjG+Dle5n439vZ7FkBvIqLxrog9FAeadvFvP/XTucEC5W+GCPFr
p/6qleKjfmmlHPg3SMdYhgSepvb+PkFw4OvTx7CUNbFMaof8f1opYX0iT5HWhvg+TJQ0Tb8vcYX5
CYaF42qM/n+2wv9giSt13OMvN3x9s2fjgyWMWz7TRuYJf2ylbP3F65zoaRMh5koKgFaWGL8Mngv0
uzHOdcydljfyTZbbE0JhSNME8rDQgX2GLOadM/EGGcVnLieIxa3G16FiiFqjZQWu7ODnPZqTcEu8
2GGkaBUA6FcjmFvHsV46qcj+42LgTPG2m3jGvfRmVv07FoftiGtRGeAvZ6u+aSbxxtJrH82IKZwO
Dyj6mP6Q1u2hDQK09RE6frlbbGjaDopxSw7Xrl09egwpRjvu13Mrkn282K95ixrPNJ+B8MmdF4b9
um6Ked8CH10zpI4JN+tOgAXJAiGdSNnGIXDSbRanD1CB6zW4j3E71NNdCUxn1fn1DqcjCFK+uSsH
9+168cdlgzC3XBlIVQIn/06EYL2fkeaukojD3JjDzyTwfOR1P23McjQgX6U3mcCsnzBxJIGvztdI
/uTam7B+eLO/ZSt+iqUqN9GYP1JeDcaCmEr96i7GQrMq/eDEbgpSm1Q3QWl/bqilNMV3TCaMbb9A
IpqLEdSW/2EZaPcMu7wj9rZYYR16SVMLr2eN9jqsyGdFvLOeXefzUiQvWdlsxpyqAinEQ+SSXNOJ
X6WN+QEn2D2kywQrJOnnbdwRyGaFzl2v4qc45fuPcLWwZNO5HbWgp60IDygdARUGEGSaQTDMN2OE
AyPpcLoriw404euYU7eaw6BcVSVxznNxP7Uw/Su/5nrr9PsoItOwKdW8UjN045EotTWinoBTORP7
ourPVeU/SSvk997RDFpTg++ofrH65Bqt8XWbBMnRiCwfBgGlS9ikBAbdTFQ0QUjEStf70KlumXFf
N2zSjrkBhCzqEvyW1QuZ1MmuyTXmNmk3E+ond+QbHQc4P1Y+HBrLvNh2t67lqEfTjNWj/tiV9WNv
DPuqK6GKVDsQUEBli6RbR90QIK4Z6SHymEuGOTzjKXjvBniY6bTHr0fMVNnkq9KtzsTwPMnZu1QM
jdY4Zx/8LN8p89Qst2q4CdHBz2ZwjKbybMnyYg/hIZfL2ejxZAwzCCHWGqu+p8Gs4oVWlyuTm5JR
ZxRJuHYN0lFJGOMl55OWhazXWM0K+nTGB4U5fMTZlG2mwvF0OgSPatZ9m+DAYbUFFzn1x8poUJX2
QbC3SnmMrUZuFtA4lC4GPCu/DKa9QWjZVk5OuCazEmet4dMhwaGKphjQdpilIP4ENiYldn2cfa+c
4Znt7huIq3RbdWj3Ime8zD1XBcbtAPQUCn6Oo8FZy760MVVEubri7NF5qDWVfWpgKpaFOsqSsQe2
aJYRj4QP+P4+xqG774nL4llqSgIKPVTwW78nEmPrl4aYVs3AmuiABQ7lROvIJbkF5jP3D4FZWOph
DFrDueqnvroaJcioZ6JY7eGcqfpQRfQfdcq8qRKZwF0go1VD/KLVRvcd3C5sJ9NJiLLftUYL1NJw
rySZyhsuuIKwRvcNB0XH+MpFZJmK58wg2jUm7nllmYt7cirezFnpZyv+OagLWX2tQ/EKSQs9vp8S
/bQQQRTE9F5wtWiYR6KVTZAjrcI2O2fTzUyC0JQE6Y7rx40o2zsj7K8Kv/pKBwyVyFmPE+C/josr
zTFh6Z0zneL5KE2knySpvSYZ3ArNWlM26Yxc870Va/UH005vwy64NtL5JY/tj8Uy+SyR/MiGArIg
+WHLyZ4ntHGyJRm0vc/0Jd2MUcxOmwm+UuzdmFmOYmiqXsdoOcYwfuDCT+66gcKz4s1463pakyuD
aGsaxh2jC3szenJhbNjfLObMjHUK17wK9cEruXV0lan25HBztsN/9rD0wT2HJVuGxmeVbRYZPdkt
SzFfpOEmNoiI97Ng5IuDYdTiRmcJ4GJOGtM+Eu42+gxGi6nGq1+N17Wv7JXvA8aMLO+cjOUNvR5I
Dlx0QZmgpusOUa9e3WCct8SxPsy50WzZ8+ek0VJAwEA9hj3Rsv1YPjGHOKUGEWJevzz3TRDveOoE
7wHsiqxFjXVbqfcuCB45oHdmnV9nRawT/ZyDk1aPANj3RoLzh1SKYzM6lwGcaSCrbwmFbsWO81aY
6kpInjsEyCFcXquFtt0eI2OgJKgxWsHXg5CQZcdAzv5qiHBn+naz72QyrhPRnbOkv9CJ7EpbfRkK
CJ4ZzjfR27wBezFtMxNYjWn5DXfC0NsTvRqvPdr7jZsN+9IwrL3LreeoeEHXbFfPZt2lKyx7JyLm
WhDi3Bq66TEHP7adK4ogRxaW9SXaG6N1lZeBu55H9NaIjvKryLIvroU90uhYp6rSLPCekCkwENKJ
gLgJ16mHOkokl7hPWVSQVAjNFwFlEnLAyfGwFDaPhPQvNltCuK3Ilt1qeiur6MmRzbkrvbdFOG+T
a+7qjmThLHomvdQlUi85hkX9bFb+wRHtw8iY2EmJV7PnbG3meHba8VUb6XrPfg8yFrx9cgd+G/2p
Mh9KoQ9xQ6KGbeN/2+6figP5t2NMpkno/eb/HWHqD/u977Y/4W3GVcvIm7njH7LMnU8IFuVPSgoS
hf823Sy7As+zBHJGLCCspn4TGwSf+HMTjZRFD2hicv4nykl0Pf/TdEuwwNq2wn/4VvQS7JclFwVl
chviqy6lVQtx09k9w65Z53WydZpHO+BsHAa0Ql79xpzp61KRO4d774HsREqw920e2NbXfXRomfM1
dVIi7pb5phferakIpwQ3QPJFjfY6rCBtYE2Ld3aNXRGc3q1hhJnm+Ko1fItzN6vvhg6mksH4XYD8
2MaEMPYBtsDKT64mAT/FCdIbo24urVnJTRU7C9hYl7DJkL/z5hbkLtbhtm+/DYnaLUVGIITtfzMm
axfjQYEgHB08T92WzLrw/Oo49mZ8IdzoMVdzvk4z68GR6jlCPLLHquFDW3Dcc5Rwq6XjBKIhs3Zr
zdGrRwY2hxPSbB8TLCm850o/Xhx3D+ysmhWgq7vJNk+FKd+FKvYOT2YnkiuhH9XWIFSIZxfrCf86
OBRm+4yt5lhNdDo4YZ4rnvog/eaMzDs4CDh331q7O7dL8iQ5KDLhFxvkbpwd0r2QPsW8iGOliHE3
pMqgRTUILmFI+UD48C0q0dvlx6lkJjZoB04q2fjFMbW6ZiX1OTaa4mLIMb9qdLa5NGKkcOQQpjE3
r1SfhE0Eh6/pza3PIel2xske0YMiPT/5FW2BGRTnehYBxb3xj21d2nvOdKQJnL+tdjLWMKP2mRe3
m1Sf0+4QTlupz27mmJzTsw1ecPwScrzjAri4Zs8euQSWbgTNvqXBnWwbEw7FwSbxipAX6gWpTxDA
KCGFIYlFso1wz4MWrkf4nsgRb2NdeSbVfkuN9h6Q8gWP/DFKqVGune4xTDwWShwCayoJb3EfVaob
9OhLR5lzdb3LFlg/UtfAQVdDn7JYplAgEdSeCD99MnTlzLvx0dC1lA9Fpqfrq6MLrWED9bRxEFhW
9VF0bKWSqr7B+HfOBPRENU8Ubip4D+1nO+mi7o3o74y09aFRJsBAqf2j6rk5OO30qsI63ZgdknlH
NwtOlj71SPHz5NFRCIV93VbwrG2EbjR85al9iTtlJUf4ipNlh2sHqiYGEHot1PZFSiL1QveChCPe
zmUDlYbOJtFBvMRuuHDKdNtD/xPSB2VTY+r32oNwTsb8kZnoUQx6J0wsW0c3U3FMbCpAVGD9H6bu
uGpPfLSL+RLQipljfltjA7J1j8YSL966M9DxuWju4757zQVJJMl8RCJ4En2AffNHzzcxkCSpgtyv
+cPu2q+R0V+NlbrLaRcVWY/EoKnNQiPpBIymLd1bSt1lplgMAMLQebZKfdQ6vTafRht7ifeaNO1X
BFcmLRn3flv3sMg43ZMipHvVScNn68KexQoaxKBtRzKm+6YYjbBItZMNB/JVp3vlqOv7XbwMJ6X7
aJuG2o2nV/zNWOt1r62ajrAu3X93ojm4BYtPoAvIbaYHJRvsvGm5zad4JPNPozhL2fLQVTwSvou1
BCZENYW3lfZkiT6cCCyKHsJQnKs6eAhCcXCm2V+73GQwm+X3YV3fRpHV7CLl58/tSKBrOLLeB77F
/Vk/2DJ9QoOrcKWN2Y5jlYgAO/42lRX+epHshrE8caDfz6Li3sjqZUMBuKvFQMyxlJuBsdA+xgy+
HjqHtDm3+kxs0SkOXbHOmpwUhOEukVhDbLr+MHFA91ctbKMo52OH4UHi5TosZf+NhQf9bN2GK7u0
YyJ0GoOIO+MjEEwnkCIlez8w7sq5+uY6PNtNTv4qOxCsclMEYjBcylsT388Kff8z0ljdYdNEFzN+
JMcmrowkT53wYu9lXZq7lCTBXa6qb/hdnnASiTXkqx3GHMKe+ZWvKHftenQcoLkTW3giHXlNh8Q9
MlFBRyqK1QyJnodG4qURw2M8Z3cjNXGttDUtkXSOKKUiMKczbzffyzZ9qrvJnBii2lgA4QuGR+Ti
sjXCcxeZI5OOjPwDxXSHAGhZyQtU5feJ0TEarfTZZQaAuh6gutuX15YD3Yc7xQ31HymtVx5Myzqq
vG7XYrb7beab1TPb6fzYLc2jY/Pgk/b+ZIDjR170fWzyXRCmjxR7k4hmBgfU/2OXRGe0ZJ9BmR4c
oxtJ0B4mjXxCRyzGQ0gStVfORHsPABFAfpA963lvyVQZm6KtonVT1cturvx7KyyarZQx1PRlKrd1
jVAZK1F4NNv51TV4M6h4sHcAQPABMSTxQ+OURNErUa+bCLADO/WayAM83KVXX6qM3XsVmBExefKt
Bvi7IxPgRZig7dPGvZi9+6US7j6sdaxT5Hyk5uhxxuLisO023vpTiZPMg1+kXMK2zWrm7Zci87OS
mYygxXpxu+GW1WSyRVuCko5M7k08O6TLePCvXCN9NUkFB1APRiMJUzZj5FoPGKuEavfzQmpB70jS
E8zskDLfXuNYo94pxvKNTWJQlbb5lgnpd3ICubD7UbtjL2iuK3xem8qEi59xcZwN9wnsg7WKIjTT
RWN8jtvxkXEhTo8kWFdjft13FoP53sdC1VUNZsj4QblkN4A/Ovaw/deFGTxyY79EOZRrdkFAoGqD
TAWuNWsHEM0UGfmGBd3RoHPS0nETYkH3rY4KbZjlscf6weQeoQ2Rj3rAM7I7MWr3wzUByzg+RaBg
XZIFGZxJ1jB2br8Nc3sVUMlXsyffMGbskYqDy44sUjQdIqeWAeOvmz1FRQH3f2rttQ/GKTUK2DTf
TD+6pjEg9ksQmGz16amWLWOJPgXfmAC7bVAosu14iVCnE6WRfrZaLklore69gimQDRBXBOPTRM+1
cuOFsKi6KreNcqI1WzIWalnDjyPISvHHVmzhmVz5TXXx/VnDY8g757n7IMmSKz6Eni0Tzx0+mOd6
4NGNW+sOU5mmazk3jpsoTUVuVywPHxgsSIQqZAyTQcg53ZY3k2iJEHDJhfLVG4gP8DqJemomPEZF
bz4uRItOc/7ZJrB+M3YcqZ6Jr4dxnA94gLsX+SdV3l/XXbsrTRCh4OcgfdUmOYtu+h7QG8cDDj6i
4t+Xoj0tASBN0r6Ptl0+IwfeKC99rAeWTh1dnpdx9MUN78w4GD0EBAnfZO/tzan9cGNaOq+aUP3T
8w0pUDEIQfDyjmHIfCErX0M/+5aq/ixEg5pYWZsIJgmxIFRKpznMjXc/xdZ2kliVw6Z6mDo4oiLg
Um5sGjO9KBY2cwLaa3bQ6IbaNj5co9Y69km9zqU5EJqQWkRjR56d3eXl4j7PBKj4t40BfuIul6oe
NrPeSsnaOP27+vm5+uFS9jern+S9/UsVDR/1+xVUMw1w6hCMIMGU/ClIgUkDwU0OjAKup7+oaIJP
GHSIOsdBE2j73h9uoXwSBJ8eAkNbaO3NP1j92ELfMn818AEEsz2Endw/wSQEP1ZDv9xCFycuYrtK
zLPjYy0NiyXdutbXKvqOb24h5XHVkvGW6LC3hBi867Hmz1uM8y6JcD3QXJeEuJykOLYBa1NHx3VZ
/Fy2co8b8N4pfUA3SBs678XS+YU56XMLKXRKeh1TdSRmdtRjeS8/E6Dc0ECa+bppELeYSf2Ce415
n30lZ4xx5N0tMdo68u942GHbTYp1CIvZiYi8bEkOHTLYVUp6Hhycwwgul2gVpTWSL7DdHxfy9oK0
ecbNWKwykvgMJm9N23/JCCrApid3bWDsFrL7koA9Bz/Zvg7A9THeRy6BJ9vh8V15ZP+phDPOYFAW
lWLvkQ7YdlzSZ/ICm5HlWA2z/rjoMMExFFepmVfrdDQO2KDpZyE9YN6Z95WYjvaPTEL3fqz7e5hc
7WNOamGu4wvdxj9F5BkyCLii4UBGb043kY48HCPP2EpSENVgpACA+yshuiPqeqg7JCbO1veO/MQo
7B9n9Ee0F0Qrsov6mpk413N0KDnpi45H+Qmk9fjDKMUFlGKEkk/p0EYIF+7WnOZD2s173x+3NY1V
3/GaRTrycfwZ/5hhf2pv1QSrZht6abVXEh3GlaqSebWI2lTHykfPpDzAP5atYDU3ldmyO0gEVqKu
Y1vzmg8NTE8lbcWcEGbkakKbIDQHsd3MOcyviAU9o1vwBX0DLaNy3sq4bVaoouyNAxOBLqTi/0Zz
My7dmxv2KASy5oNrucv6CKUL4tWVpz3MkczuvaUG7OB4t0ZMy6nsms+BBawy4ud8Ei+lP4F8moaH
us9icnJAVopGfk/r7oOx9fui0CEOXv4lcgVvBXIKzGFCvNQxSCiNZAs4wNniPaDe0984QXYQcfvi
Z1LtHEPkWxn6L7PuXGrhphjZxu/ITHVeCQn3c8HuCi6wvzZBgd7kkXEbveQDtT46laQuianbyIL3
C3IimS1Xblnu06q+GxyukOxlHmuRwKIlnjlnpoLtAqmB6T6F2hwi+RPfGp+ipblLwnw9C6ODxfZS
SklG2AzZFe/dkmz4VMD56KYNtMAr12UtZMQdmPAJtMboopmNm/t+rqJjFscaoXa7tPVpKusP7MeE
DpCdZO6aOWvf/q0rP+sKCoC/qStV/lr+hSlB8FG/1xUCAQPHQmLJTORPdYWpJ5oCTEwuTiZfl5zf
1Jk+fqnAYmvAae6QNEjJ+W26CQzSYR1ArRLcLxwKxT+oK5av1Zd/qCvYtbSblGRCWNPYKf843WRM
lrbsCOazz+XvglaxuCfXxnuucmGf5jHLXmZLeTtfDeYNoqQQYc4Qb1jZL1+8YFQPsVnle7gYyRXH
W7j1DNWSsNZw74CzlutY7MGxwmspmQHipeHjB7wbm34BN0My63QwWIhPNgCITsXqYNVORi6XybNT
krhtzkAh2rqbvhZxHJ0QxC8rYah0Y5cmKHzfrxELzF8Cu1kTWfw6h4UH1sTyd6oyxqsyqwj1rMZp
TehxCLbHPOOQqFgKZyC03CZbocInQwyobBU4inj2dNH7ojR9r2drFHeqLDbAMSKdtfcST1GI9nMg
iwT9HIH3elLBvG0JgMZQvS+RFT2b2UyKp9PuRF3eSWIotty0jb1yowWKRO+c4hhSW45u0zKa7ogb
INhgLxL7LC/FdiAE+eBa1CmmJdmpKWqsBtVwt7QgxeockhyR9MvKkJiQMm7GdhTcpg7N/zDz6hi9
Ed8n0CY3RWJZ566z0Xd4Y31s4u5E5uFXSv0EDIi5F56FdGtFpG9EzaIAZvILY43TbnIjM3ehax1S
YXApayOiSIZ9obJQB5HVr0MVpTeTEu9kJRKTZkZgwKXpb0YEJfgfHmDx3AFLclbZNO3tIf9i/4C1
iIDre2vn56GxLpXtfzGjjsRcBro1OtbJVhKPG7gb0uc41phvkzkWARFiwe2VxVXnWO9SVv2uc8eH
IcZj2rGt0/G5KPIK8wzh8FAW1X5w5HU6BTf1aO5jCzPCkkfW2g3dC5Vmt0TJuVgSRj0K6JGgf1/k
fCNZL9eZ8UiPl29QSRB9xM1p6cOvhd0yX2Z2EIA+J6t5T0DuIzhMnfVWM3DXGCf1I3G9yVDOrW3N
UBWapkqEBWDVsJqug7GseSqKJLu2AAT0eihVneogdDae1U7XEaOz47+H8c/DmLPrbw5jWLN/BS4T
fNQvh7GwhPXrPul3fZdF9gizS/JFLK15/+Uw1uAy+nfcrpzRbKk4Iv97GHMC4xtjcmtB8fD+EZkX
AO//HsYCBBocYExn2NTYd/26ahoY/SHjCuYz141uZxp5ue2EydQmc4hOpclMJ4nmQbIckWFZ34xj
/0D3uZd+hgmkXWj+Y1NeTyWjW7z2qMc7cRIgJdb57HQ721LBLZaj6jANTX1nC8TnrlDGFXlFcg97
9jkA6LU2pPlWIjrFT7PcFUkFFfv/2DuznjiWNA3/laO5T5T7MtK01LUXWwHGBnyTKqCc+77nr58n
wJyDcdnTZwqNGKnrptUHE1UVZER88X7v0mXxTMoxMtc8azMC403TrBXUAysCt++o923WfBPQk04T
9TLSpHjdJkhhEpRecukbK8nqSSjR3GqtRE2KdbqZGtMgj650xd51UfGJ6ECC2wiCLDHNWodwCo49
J8ZutXbyDSDXV1VVrxzsRicuPq4IADs4QSRfCqKn2zlnss7UaGQH9V57KUfjl6TJP3OVOAn86isa
nGWYJ3zYsVOn5Mae6gbp4Q1muGNuP44ODmkDrZmprbYng5VlU1RedOaamnQkouAcAj0jH/TWsDPW
dcU5V5whVrgNA7zaLS13MR5JSuRTw/0YqOfcIPg/dPgDItgpGLXCvqg0myuF1AhvTF84ssldOy2Q
UNlKOS/zbKla/UJ2uqUKEaARFqLluBttG9tFqz1Je3o4VmkRbl5BhE+bKgf/xfCktLscSBagrFP1
m5ycr0aiuC30fN72Kimbw861zDnc1Hqqup5Q/35rLC+bWZGRzmp9zBaKXMewi9ULtxywjDMx5oLq
D19t3Nr0uyYK1D7O14ywAR2jL1hO6xaOQRhml42c4Phgck7ZMTtssTBikGNfS5eNYuIC4d3gAeZM
6qTCKK2OZ61Ec8uGcUD3AklgEHkIJIZRXllxirFjUrGvehjpBoXzBeeACyJtCszdzBO3s7lwFFU/
4xKzpS7wcGrLtlZPI6bqpWBWSe64cmsse7s6imgw6PDH1Uae4PKWwwHz9IlXe58s1+KZgrW8UpPk
rGaPnjYpDm5uP0q4dZHeRcl1gmXnpan4d6mluZO0T+y5UZmniamuaF7juu45mz6t6G5JKtQ/nxwK
grkmZg6sanR0fcO432QY5UAJIcGzix6w0LwJE+0+H7qLUIdMqHjJjqb3eal6YK6dfU7ImzwPbRtR
YpW2p85QXWi59hiKWwOh4istHu670Dnv1fRTkMbhNDFGDNVq2jV4y+PgG4aLXJBiate8AyBF2gb4
hhHuLhxbcCvVXY5Nh0IhlkwgdeFK6wk7OQ/5hxfEcymPbtIuu8EAh65hq29LOfyamg1pWnVWYyTs
5oLtfdZk9pewlE4Urz22nUTmGmrMTZ+WXyZQ4KyZYk2Df6Ej3SFpX3LtPM1KLLc6C0jd96zbeqTe
ijzNWbU5njZV4iSrTuHBQ96gb9QoswHSoHI9/vtYfDoWDU6RXx+L1zt/u8+wXvzWq2ORywROmSJf
y8Lg7g3tmZsLtg2olsVt4+WOArdZN8C3bNjQZNIYwgvr5VgEFiP9nEuK83RF+XveVYaCFu3HOwqa
bkNgaUJBjbr7De0ZA05NjvkYm9bxo2oWaqR6GjKRzql03MQeulqdpCrBk3LbZt13gzLBCpd8x9Y5
ro3InOZAewsvHK5tKYOVH/I4pkoA6cJM5mGTP3hqzyM71mgql2SMNtJMk5ovFekiVwPB3kuzNN1T
Xx9QIvXWzCxUbZpbbXnGQd5MDPqFJDMq97VbfZOxnVvlXcq6DokYNbMqmkN8uxqU/hKylXlZcN9H
69TZMzlOMfy0TXBlB4KV1zg4tThslgmfyu4jYkUbaaWEljsPidKc2E3wqKRqz5knjBFr0iUwGIaN
gDoGv0AtwgPbTZWNq4bZpG9S/hshiSuLkOxJztuPQUz+MPwX3iUgkQpSDZxJQQfTOgAntHKZD1ag
ruqSM43CdlsDeJ+YHgs/q1sD8lZ4lRmVSOw5aSWZXqOJdSoH4LAcffIo4JRAzoRVVmIiNicw+HM+
Vp+csiTbQ7bXRjFelF00zODL36BzesjK7LxQDGtSKj59A+MCz59rrwXZ7ygDWpLVy1xfy41zZuAE
McMZwySyW7cQEGW3YRcfk05+14c1QdaO9K33bH/a1M4iiNuvRurs8tQq1oqOUiNMCYwkxCejDYe3
t+Z7/mkQkNEeFVWANw8dkSH8glQrwd4MjA7TsX7OvZQGEu7Xk7Gqbsy2urNN6M2YZ84jL6An6AWw
NuLiSwaOtEhktEK9bXqzSu6vM/708RPnNWhxB8F0CC0x+uqppzcXuSDJyoIuS8H2oOf1LTeaR6w6
9YWrKY+5oNj6gmybuipCc+i3HlFDC1NQcsei8nh7tV82MjCw/MTdDQSNN9e1tSSIvR43+qlmZywE
WL8D7F8dFrAm6MAOzda5ElZ0Y83qGzcTk087JFPWfj7NBaUYh0IaSS4iaVpvUDpZIzAcYgylISO7
cJU0QU/u4Cl7LYRl3+43GgxmFSYzxuMbM7LXEgznRl0nCVXZmcOYlV5/ygUZ2oQVHSXmjQUXBro6
R4IWDjM37JcR2aMyDbcqrW8tQbHOoKVMsjDHQ9RyymmGc9KkDtNFFuVnqtos4Yt8ruBsR4V3WuMK
v1Jgcwcq3uGwu/E/BQIGEZ6Ufb9JYpWYHTm+8yGHGybsdNp71josrFPVgdMBkTwWjHKkoyq9yGik
nIFv7vkwz6GfB+sGMroKKV2BnB4Llrot+OomxHXdMm6astqogtHuAzbMesFyp/NrzErBfOe4Q4jZ
1Es65jSZzRHjdwCWznRvRsGcL/IGB1XI9KNg1UNL7KlRYsKOo7U7lrtCsPCx7BYSUXXFXXukGQdX
32Fapy30fRUaf90RE6AJZn8bVvosaktzFUH7h9R2oiMDCGCfYL2FMiBGIiAjFRiRDLgQ9qelUBEU
dSxhXaBcYfpzp7jQFDwtvVSF9gD7doDDZkkG0gCV33bxrG0vSwQLLsKF1q+AV4WSATuDQGgbXCu5
jBE79FYgHfvIHwKhg5Dr/thEGNF6MVoAStJpWFDXmykBgbFQUoyyfzYKbQUJyf1MKuNv3uheYyaG
Vk4Rti5Ck9H74WOZ47WewYeQhW4DyIVSXmg5Ok8aVzXyDksQUMdivByE8kMSGpDI8T71SOkbIQ5B
JOI4SQs4Ux5jBUIZrfg07oWmROvMZhqbOAtgWXCbgJPWnryl3gyAJ9Ck2IhTKIY+q4hVRpJ8J6ka
zPVWX5TIWdrMPgmQt4SYb65GHqJpNxJCRitnOVjKA66xZ4bHnt0jkzGBgwul3KFxOKuR0YzQ7S2h
q6mGZqojtMnsdOZGdDF6JDhuRGmMJEf26gWck5Ussx8JzY4VwHgm+iSe9oN1jX/F2agbu6hmoww0
M8O71FqxuPtJjRxI0TpyIitnUzrwdVUkQzHPLSU7FhqWoLq2qjRhoV3CaiAMQBD3ZBh8nJ3lPAv8
ZiL50PtkQfSzBeVPIsBuWVblbQAb0EixMwIO+6xY9V0oCIMl+wJwHo8GnEiFHURB7GPf05rpl6VT
kh2R3ZdhQWvfzh4rwUt0QgUkXXAVCfs1Zi70Rc48Elb4WZf7J7VgONLMwHofzqOTNI+uQIlkq3jU
/HQThg5J3oIpWeMfpAjupC5YlI7gU3rAVRNXcCxZZcXUtY1z35JZZYKJKQXZIoOaORggYBb7pOBs
dpA3B8HiDKTwK47dDwZ1Mw24ZOm60ZI6gr+B235SjFyBDUHkxihZ67z2OYpTWDE0byxU49jNmZJS
bdCUz7whgRcWZQShdZvewvyhkuj940WLKVz+zZZS2PK6c9dlBJ9JBcxShLiYVBkGOQrSrVw07iWt
/zN288pxz3QCXPyAfKcp5EB7LeMRXkCJijPfnJSBTIMoJH5nhO3tFP7pv+vo5zqasvI3dXSDE8OO
mvmNAZHBb73U0Ri9Otim0VdS2V2fKuIXeElxjujd4kdK5qyJteNf8kHNPIJUJwjLhvyiLHypo40j
0RbAOQhHI8zzcX34G1j/z/ASb+yQ38hnAASD0fwGXiLiTy6ASZtz/MfZjILmazmw8RDsYxGbGM+G
MhaCrGA6ZO5ZALAwM5SumpZpe5FU2dpyXAkeoIpFe1tw3w5OIO+fDRYQPbk8n2Q5emwhGk6lrIWa
JOEG4nbqWTbS73Vl05smVb5Je/mGvfGrWum3TkEare071D0im8SRxkWsS9K86Hy6hrisWfgbT8hi
/YIXw9d8yD63PvTcrAb6cE3zS4ndadqnN7Uj3bjpcOKb1gbXlLM28k/pcX6tMhvqpGNdlJqBA7tn
zxO+GMYm2IDRlDxulOwuGeQB00QNAWQN7biIuxV13+dBzcs5DrYLXcdaRQ0xwdY7iqFIsh8Ln7xr
OzZPqzq+7qBJT22i143IvsoC55FL7AVN1gFnbGisshfWc7frzu28pTeQPgBQ3LmFuiFW5QFKPIYq
UenNm7Rjt7aSCy93VuBVEz30vsZq3c7z2M5nHXb8bIPZQ6c46C6IHE8GfHNywu9mAznfCxZ7OcUc
5LSu6Bro7in8wtnIiQQfrVvIZQeU5qw81bgiYfwbXug7KymvtcBDQzfeJt6YzChIzylfp45c0r/u
iD9SZQi/al+YlxS/Z77TfyMDMZuRqYnHgitPmzKsJoms3uiecaXXA1ZtQXSte+q3RjVbMoDErxtw
QXGtvE2I0KkyAlRMw4S/1gQzLkohl634Dh+naKHmzbnqGzKIEPgMzAJjItOBMMdoIVs5vVhbXha1
TyJLlNPrzPmrIRrvpjS1INJTQRWjvTCDCielCnoaDLxjqO2EjhL2ByQzXlkxeSEpyZDQoYg2cQVZ
mlsQxQmRJ2MVknLCE2dYnTS1Rx7ioeJvmKi5N+/K8VPmYSYIbAlrq124cvNptLXjoEMhaqncqqrC
JaUlRtbeNtFDnfW3NqIIkLT8XlayEu8Rd1p2QJedHKxoA5AbL/krGev8mWRhFCTL2dIk1keRsTeu
ZMlZkRw6TLTW3iVhcQr7uZ2gxsnn0OHXpjcMZES06RxiEsb5BmZNeCXwNCYTiKz3FRfJqVwqpBKN
+CagXlBP9DSiLKPn6K1j1fG1WRR1N6odle28lCo/+MI0uPVGrS38kMzA0Bamm8jptQVHNpvpdT5C
0irjyp/CLbUuOCQDeipF4F9oRe/dBUR6VTGP0ER46Z3nFXFYOI1QNNGuJp3Ft6jC/EKG0or661KO
JWIBikCb9xYtGwiiMSE4tlkV64ZMbpCgoH+yH9RivM4HDb+YGF8Lsy8wTNTU26jj8nMWp3nDPhP7
yqw3rQfZa0jMiGAmwyfoUFIIb3fdKOYoDyzvWq6tuLpT3daD5aWNpHxC5jXdr5ER+PqZrJaJxD28
b/J/y36+y344PX59XN6hhttzWPI7L4clSTEceAh3FIezCGHbK9CJxrhKBwSzUBNvZJUj9q/GuANO
BamKbCA8KfRXtkU2bRpN9NNt2Loqh+bfOyxF4/vHxrgtmzolLT7MKsL/N6ATxmRhGqthv8lrjj2E
hDPLLa9rFb/RUGULHpU0uw4IQmbVJMmnqnGx9JcVksJGV5kqmDiAybv1pNC1cygAMpHuCdpOK8Tu
A11srcqEAhTtvdN0+XU2iAiWIu4vHM/Lp0T5WVOncbNrvWrPSpnnvE7RB+OVuwEQL9igU+8KAhUw
O+bxc4+UilmlKJ8T3PhWMWlhy9DRlrnRrLXBvvaKplz0eqjOzDYPNnHQJ1POnq8SOQMrp7O/pKMa
fC70Ljvz1SFd1KODF48w5lSYgk2gYNbey7WzQvQq0q7IlamfUFuB38YCyc3TsYZ6BG0A77CJnocA
bE1y2gANRQDBnUCEa6BhR2DEBmCx3OjzyPLkuQqMHAEnc4UiX0U5ywTOLAvEORPYcxr5Xw3A6N6E
0E/n6sYrohshMZznArl2gbBrgWWTHQbhJ8XvxfS8VTSCeEsmCLvAwPvUPDZxueMqBOKGkzI5DwIy
912c3VNQdP7QIXyA/FMmuec6OLsNT01zuXfrIPAuSDzi8vYUSTLOfPUoU6HY58gkuVG447mR8Set
835GXDD4hnavaiUhxdGD5OaAGL5/HNENMEVbgNsQvGvRKpA6dY1TpEEBD2+oo5+AkIAGTSJCw8g0
FC2HTDQfDLoQuTdekrmEmp/2hCQaFdjwOBiy0bww7SKyN9rAxngvq6YxrC2KgLnleydQsEYu+Uia
Z7HBdc+3jJ1EimHQCM2GNBDIhgO3SzQN9/j4uMVJC1cC4Dc1UU41i+jbWCiaXVmB5WXYwXIwImgd
ZB9jU6NelYbRTlu7RIfhRfgw0RLHf3uYBwiw59j9LygIObgj4nagTblraajw2zXIT+pY4FOZJ1Xz
8qs4TfHKCvR1bzsVVl2JfJ36LrQnHePKLMXGgrwXLqcmei4XXrYup8ju3N2AJCpA2LWODOO6rF1w
vLSeYoE5tSznnD5VvO6IsII2TQ/Iis21ZJf6xqqhPmNbWU9zJTAXWBZ8aiPR7quNU0J5ieHFHmcq
S8ZxGTfBsTJkJ4UeK+siC/gr1Q6chdtKcTdS5y26kYYdZSHWG2UAoSQpl9XArZSb58wu4ns/NhZ2
lrPUWSa54F7QcvqaQ8boBSsjkix7RuKasvEFZ8MV7A2ubbDJdC7/je2etwW08NCheTcQfRKnov+K
xxcGXf3loNBOwS+Tem8Y7UkjmCNyUevozzJ9OXguvBLBMMmL9ASSojUfBPsE74fxuAgVaakLbkpG
F9iUuJGP0FawW7zNpUS7UMOgn7L74fwQoFjzobtIFMCe4L+YEGEKK/S+VVBjHJ9lfGlBlxmfiDOp
I0g0/75uPl83OXB+c34299s95ye/8+r85PjUKXy5HiowFl6dn8oRqQEks0FZxpVG9Etezk+Hn3DY
ct1U3wYL2EccxBCg+ZHIK/h7TRtN3sNlgLlmiqutY5gQ4H7kMsR1WcsYLcmbGl4BYKdBqJgmnahS
g8WfreSwoyAiNKlOSzNyq0WGT9O0hq9QZgZWHYLCwNNnnJaC1sCKgODQmcsWxkNs9/lZOUrTvKUJ
UdsPShshwEs6qFx4Wo2E5ziE6AQWhoD4Wi6bCrwldQTQ3emfO6J39MBPrwvPa6Zenj/gSI9bWP65
VHTRU8cIwyTCJxZZPlmFWqcg3qcXOT/emPnppayheQ119KAabWmzc+Z1J7vTpJNc0qNKUMS4gG9U
b63Ge3ATu1twpuKej7H4GocNAkMy6QrXq/jCqTEtTUys+2KNW5c7WNbMDVCOgWdiWOgOgOo63ABH
e6wC89I3inO7DlBB+NFtoGrXdebkMylUd3lEw8Idvc8lt4KAVd/gFIJXmbIijfKRfTiFGeqvIgcr
HDk8q0z1Lkm9k3B0rpUQEw5jFJJgVb7OrZCYOP4ItQ9dIHbR78DN2g5N1ZNdWt3aHW7kVR4oiPSx
FdHlCzBEZea7wWXgoFOSks7ujodBLqfEnH+TYZ/KsFA5T09aQUvVwuqqMaG+9gghJmOJKMaCxRrS
HOFwjElJIX26kKQGoxx6iwhoiXWIVjYd5HmQVvbGUfNhGeMKPGnNcI0troP1VrlTC9gozmh5l5IQ
OI6BQVxSG50Xg/othrYFLGbCV8MszDmPfVhtWBpAa4kMDzpBEi1SLhPHXpRtIHFweYrtDd6CdCxM
B5LLgEA1wrywUsAMSvU8z3LsV7EWxPhcRzDXYNOoGNIy7BH7tErz1cz9L1GEn2HZ0ERR/XTGfYN5
I7yCXZw2FFHLXyxI2Iqb3SeeC1dCg6eTSpeKnX/TfaJJfTo8+OJO08gsp3JdEshBeFpuJsd9bcx1
T9sMSrThZi2MyR1zImfhjdy5n41EqlbAgdnUl6zPZe0ZfGz11M1Vag4btSxgdziheXSVDPWxzOFV
ROFVEHhzs4nvOrm8h6iZYUuLY9SALswuo2aG5yCFjJwit2NyDV06po+mL01Z+FY6QwQH2jqVC+XB
VkdtVtXDTa6pzaRV8kVecXPESL+YDX27jtxRxt5CPu/i7t4XhBlTUGdSMyiAkPJbDU6TQyVswrIJ
Bd3GhndTy93CKoWmVlBy4OFlMA2bk17QdQZB3EkH47GGydMV8PoTuD2Fi84qEHSfSFWX2Ml/teEB
UVR/VuAFKVJ1yeejeIMx5MAcKgWFiA8888a2mzmwi2xBM2pG+apytK+DICB5Op6ghG30x1I0SOtM
EJVSGEstzCW9kXY+TCZbUJryBFUmQR0QnVxBeRoF+Smx9HnpFg2ta4hRCQypUIadZcMtA+uoYHRm
EKkSQakaBLlKhWVFDi24uCBeYUdKM8DrL0O8sCauIT9g6BX+v7mnfjcCnm3r7fwJXL1sduVwtavA
Fv7MuBI/vcgQLV9n/7t/9AKc7h/oO6x7PeS7//qP7WMSpLOgqsvgoX59CENSfktBfPpMTx/4d0PE
W2SlzSNja9YR91f2DcWBNcgL1kScpd73H0sKQDFCbxVfCwW3Zl6vy6X9H/55qn7/Bf+Vf/Prb0AB
8Rb3lmGC/FC+/CszwTivpsLBt9iBFAvP/eklfvp6KoSfPyHnSBOeoYZXD8qvHoX/60kAtDhwEuwj
OKeqAk/mF5MgH1HiMU36c7340SZBf3lEH/r/9HbZn0/o/7AmfnwSLOKudBtuDwkx4gWq8/ZJIDIB
NIhfY74/2hyI5/cdHgSQJgplQ8woL+r5H+aAjQGphgUt+HnlfcBJeIsI/v0tAXELYKCDHGb/JLAl
UArZaIuZng/5JKhs6AduCc6RIp4BvI2et4S3R4SqsXHiScH97oNOgjjVDpwE0FyB/qo2T/sP60CV
WQdPCtjnE/T5rT7eahCo9YFzYB2BZ2OHZbIkxOvtlsBUCMmCpQAfi9dHnQr58KmgfY5sQwfx/8VU
0E2griLi58NOwlu852/vjhgNW3Q8LFVskeL10zGpszHoGsfkhz0nn3esQ2oF+8hCg09X43kORIH8
0/4gaA4IiD/2ong+wQ6ZCpgjsEIMmiff5+LNVIiSwYbHZisftoD+39yneLh/uEWIlEKFbJ43317U
CgCJOCZ81NWgHFw1QsIX6K+u//zt9SMFWBh31e+bxQctFZTDSwUVtQE26zCknha88F//YUdQjCOy
cVgm1BPi9VFPCOXwY5LoHlTmVIffj8m3m6MirptEgCOl+KjPw+FXauNIQ6lCqfD8594HsYhbBj2T
j1o/K4eDK+YRX487sw5m9fR6uyjAmfgZ9dKHnYTDr5POEeUQZgnY5Ty9xMnxBmGCXqng4PMxwRXj
SWx82C1C6LQAFaDEPM/BT9sjtwiTH+s0Cj/qnnB41agfEWCDm8bLcnh7lWJjJCeNK6ew1uD1Yc+I
96gaARwpiqzvsCtf9cdFgROWCcgCAP1Rn4fDq0aY2sJNy6BJ/vR6+zyIwFiN9GhLXLpZgB8QXzh8
ezSPcKXBQwaz36fX28IJih50XFShHxZ3VQ+uoGnI8KizGMjOeXq9XQ5cojCFsPB/gz0vXh/1eTi4
cAJf0J0ndYD5/E1/ulHJRxjgAcEoz+/1ARfF4YUTBwEY+5+Y208gC88DVto2NJkP+yQcjDRpTIJD
8Uh1+IudQSXYyqHGtj/q3fp7bX8IvMIfGkcstOXfD8o92yMCKp318Deqx39hzfzZ9J76Qfz41O5G
+rqvK/6rf/DSBv3556/6uE/d7B/+pWh/P7/5c7dX/P9//NANV58Owlc/fTkYn97p++9//4o/v/kP
b/byvV7+4wqTzm35ALnliQTw/YOebxO65v+M+Z/H7dsutLjkvvy3Pa3719fp34+O0m/3MtBf2fKi
qffXV33DC/iXB0+2j1n5MtCrwTlnDh58IjyPXsZ5NTYf7uCxp9t42/InqV7GejU+K+Hw8fHzrX76
k7LU2MLfYfC0LklPzvZG/gnh28FvMdvFf5xn5d75Zz84ePx5/McsK3l4XsZ6Nf/chw4ef1Eip983
OAXvwYMv412avozz6oO/x3JdNcl9Fj/WPw8v8NSDP/o6yXdlsI1fhvrr0wuo8vDhseh/GebV0O+x
Yk925Z45F7XawZ/6JEi9PRuBwKkOHvt0G+3Zw0TL4h2Grqrdvjl5jwV6mlV//DP1dvFu38y8xxI9
2z6yAb/Mw6un5T2W6NmWZKY9Y7/HEhVj59m+3V1c2A7+s57t0sfsIdi3e4n27zuMXz7sHl8G+mve
RVv18MEzPvvLOK/Gfo9lepbtnZP3WKUMjb3ibtjzyd9jpZ5v8z0PuuhqHTzh57t2+3PtiLfueyzR
TbllC3j5lK/+nO+xRC/i7cNuT+2ovscavYibZF9xJ5zlD57zq4DSsQoe98yM8Ak7ePxP24eSK0Fa
7zlLtfdYpZ+26R+THSLtfW/wHkv1+Q3KdFs+7t3ItPdYtOJNZsHO2/cl3mPVivEXrICHoHrY9x7v
sXzFexxn26LZd1pp77GGxTucNkH1x+Y+qPJ93+M9FrN4l7Ntvds3/nusZ8avt39MtuX9dl/NoL/H
sn5+jylOKHs2a9xJ3mNhi2+BMGZ8GeyvPVV/l4X9uxj4J+ThACTh0++CRg4fvIpIUWz2TMy7rOXf
mdkf/NkpTPa5UAr9/uGHQb1FQBxvmz11uP4uS/d31tKHTs1vDToPHvy36asHj/47T6TDBwcgSvbh
csIq4uCH5gsjNPu2MeM9Dt7f2F8cOi93v1YG/37ofbDsn43Nn8HaF8XQvl/7EYsW/+Ih3m3Lf/w3
AAAA//8=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_xlchart.v5.5</cx:nf>
      </cx:strDim>
      <cx:numDim type="colorVal">
        <cx:f>_xlchart.v5.6</cx:f>
        <cx:nf>_xlchart.v5.7</cx:nf>
      </cx:numDim>
    </cx:data>
  </cx:chartData>
  <cx:chart>
    <cx:plotArea>
      <cx:plotAreaRegion>
        <cx:series layoutId="regionMap" uniqueId="{00000000-5F4E-4605-9E00-B605966027DC}">
          <cx:tx>
            <cx:txData>
              <cx:f>_xlchart.v5.7</cx:f>
              <cx:v> Sum of Amount </cx:v>
            </cx:txData>
          </cx:tx>
          <cx:dataId val="0"/>
          <cx:layoutPr>
            <cx:geography cultureLanguage="en-US" cultureRegion="IN" attribution="Powered by Bing">
              <cx:geoCache provider="{E9337A44-BEBE-4D9F-B70C-5C5E7DAFC167}">
                <cx:binary>7H1pb9vIsvZfCfL5padXdvfBmQOcpijJm+LEWSb5QjiOw33r5tb89bcUxzmW7OQowBh4r3GVmQls
sqgin+5anqri/PN6+sd1cXNlXkxlUdl/XE9/vky6rvnHH3/Y6+SmvLJHZXptalt/7Y6u6/KP+uvX
9Prmjy/makyr+A+CMPvjOrky3c308l//hKvFN/VZfX3VpXX1ur8x7s2N7YvO/uLYo4deXH0p02qR
2s6k1x3+82VwVaRfa1OlVy93jxE4VleduXoR1Lbb/revOvfyxU3VpZ1765qbP1/uXIy8fPHH/nc+
0O9FAbfQ9V9AmMojhKVSlAr17SNfvijqKv5+2MOEHGHKJBcYjtx+7eaqBMnf1eubVldfvpgba+Em
v/39k6vs3BGc8+8Dn8r19ulsUYkBoD9fvqvS7ubLi8vuqruxL1+ktv72+IwL6u2tv7v89qz+2MX1
X//c+wU8vb3f3IN+/1H/t0O76P4X5M+vTFo9AeTiSAnGBUf0p5BziqUv1B7kByv0ONa74geAvCvw
zND9dwHb6MtTbGlxJBGTRPrf8RUPtzQRhAkfjMX9Hf0bGj0O8P4FDoB4X+SZgRzURW+fAmN1RJAi
1MccffsAlPtmGyFJfcX4LsiHa/Q4xnvyB0C8J/HMEP530aTVzRNYaXnkK8oBYPa4lcbqSMCHc8F2
ET5co8cR3pM/AOE9iWeG8NYLNfWT7GJxxCQjgktyu4vx3i4GjJXPhCQC3S6CXaR/R7PHsX5whQPQ
fiDzzPD+d3n1pTZPsqMpOF1EJGzYXWONYCsToihS39YBLIMdv3ywQo+DvHdDB0C8J/HMANZ91z2F
xVZHHBPK0M8sNsFHnDMfY7IH8MEKPY7vrvgB8O4KPDN0IZe+Gm7MlX2SHYyVTzAR4idRFzry5TYu
Y/7uFv4tpR5H+eElDkD6odAzQ3txU7zY1MDQ/P1oM3wkOAPDvOVHtp8HeRSDIJxRyKP2EqnfUupx
tB9e4gC0Hwo9M7TPgQu7MTfu7web+ke+8IWg6PvWpvs+Gh/53Gc+3c+af0enx7F+cIUDoH4g88yQ
DosXi9pAIPYEUMsjQZTPyXd6RKl9qCEcUwoD6ek/Fo79lmqPI/7wEgdA/lDomWG+BGq4egrA/SNB
sc85xreGfB/wbSotOfzBe2TJ4Ro9jvOe/AEg70k8M4TPrqy9eQJKm6EjBkSJVN/zaPTAekNgBocZ
kNq7gdnhGj2O8J78AQjvSTwzhFfFTfUEAFPIrQjiWBEIrHdzZ6hPKYkF5XtB2MGaPA7srvgBuO4K
PDNY1335uS6+dH+/N4atK6SPGXuILDvCPqYIKhm3Znt35/6OSo9D/OAKB6D8QOaZAX1cNjcmvSr+
fqApgaiKSM4ovk2e92005kccnDTHwJFtP3skye9o9jjeD65wAN4PZJ4b3pV7mohLIgIWW3wvXjyI
uCRYbeX7Uu6VmI8P1OcnCN+XPgTd++c/M2Q3V81TFB7lEVFQPAYO8/FdDP0iYK+BBJV7/vhQfR5H
dkf6AGR3zn9myJ7emKcIsfgRFd/Y61vzu7W/O5EWZEnbViFMyV4Mfag+jyO7I30AsjvnPzdkoe3s
KXhr/whAg13L+E8TYB+Owabeh/ZQhX6C7Y74IeDuCDwzdM+u8iegqSE1AhIaQ4WY3lrkR1pBFObY
l2KvKHGoPo9juyN9ALQ75z83ZGv74t9VfFPcPMXuZUeIE0Ll3e7db9HE4JMZhdoyLILtZy9wPvs9
5X6C9iMXOQT0R8SeGfbnV1+g2vgE+ZIPvR8EaA1o1LyDdccfE3SEfGjNZRii6/v9Aodr9DjWe/IH
wLwn8dwQvqm+1Nfpk1DT6ghvUyQhvofT+0EXoVBjFD6l2+rjDsi/o9RPcH5wiUOgfiD07NA219A1
HvztnfbiiCJf+dL/Tmftm3HYz0xiBVac3e33XcAP1etnaO/IHwT1jsRzw7mGTf33wwxdA0whBcG0
fxtrPyCs0RFnBHqEMBBgOwAfqtBP8N0RPwTeHYFnh+6TmGuItKDh9scWftASAjkyIVIqiMb3wT1M
n59he0/6IGjvnf/MkN3cDFdPMjYB0PlESIq+x1v7/DS07yEM/fRM7eVRh2v0OLp78gfguyfxvwDh
X6u4c8vbqah/3+2eR0bcfnfCTcCeZb6v8G1z7WO8lo8FERgC6W+fu+/+Pud2bzbv1lw/ptPjyEL7
3eNzfbe3+OuH8jTzaj+fZfsxJri46q7CbwOG98bZfn302+3DdOSe6Hf/9sgD+0EOH3/58yXEvpQj
DL/7Mbu4vdCOd9wWBu6A2ZW5ubLdny89DPUj6JX3YbaNSejjYhAwjzffD0HLD6APOTSiEGkraMCu
oGkwgflHaMH3mSLQ+0UhyJYMDtm6/3aIbyuT0JzPwKRzzKHx6+42L+rCxXX145l8//lF1ZcXdVp1
Fu7JRy9fNLfnbfXlyIcefrrVgYAWlFPQr7m+erNlvOD0/0eTosHxILpNmfvJsq6LdDHVJZPza0eG
eWh0qpJo9kOWDCipwnzIx5DjjuCwpsRVY8BcSovTVqate5WNMLLJtexHbrjGk9/2uuRFQldYVGWB
NWNFal8nXpQNZOFFqq4+zcbv2YXoe2WqhUDNwE4nzkc7BdhrM3sl5s7Ms+78SFgUTJMZlNV4SMwq
s406T1qUHMeT8XU7juxdWzdBLtNCt32dc83yrFzgdhxOU1e7JZFptRFF3r/Bfj5+RhXnzfGQJfHn
gZlpWVhUnqV+XocFq6NN5nG2HLwsWfsMl7mWI3WvYc9Gx7avx/O8EuMGZ0O3MFHztR6lTfREiLmS
aWqDomOkD5KIk+OEZ91bMrZlAE+QX8u5UKshKcazuIt1VM/pqvAYfSNnVIQTjVtd9GhiC4ntpHnX
ecfUR25jkMmWeZ/ZJWtw02hrSzxqiulngKlbtxGaM40bhRdKJeQTnZv5IpnnrNI56cnnnFl+2rc2
PnZ5Zv+i3NIFjNmSi6pR8WKWZf+q7/NreKTVcat8fIltioogg3muczamSnNRJxtX5vEidjzd8NTa
lVKFCbNZyc3cpnxdtlUWKFeaIKGxu2b+VJzxMbLv+7Lul1ZlVWC9lJxTiotZ+4nNl05FDSyU1n+N
89pbpi23FzSlzaLrUX1KkD+cWpufRK6cQyc9uWy5m76OLCnWsinjk6lOGeiWCe88jXx0Uqa2gIFb
VxS663r/rHWyWjVxj1dshFU0cdNNeiYqOimM57/vlfehRgk5I55sXoH60dLLS3Zua8KWnTHolZuT
6aSQY3Ycp9UQ1l6XnTPbuDeJkeNisGMburSfwniYo6VtrY0X9wd8d/bsdd04k8bJ99ntHz/+621d
wj/fJn7/88vt6Pd/flrd1FvPYPdP2lrWH2f9Z2p4a8l+jBDv2cfb+fE7q/I7B39uWe8bSQ58/6+M
6n3/dOvbvpmqb1I/zCq0YWy5RwRtzhya5OCCd2aVsCMo9CHkMyTBvzIgL76bVUYgVtrGyWjrVKGD
GpLdO7NKjjiFCwqJpKQCCkq/ZVbhO3asKocdQoDcBvuNKCPbccf7VrWbad20fT9tqpGqcBijpNE1
zUQe5GIcXvsedyfZNFR5iFDefexqNryDHTq12qqq/XDv6T1m5Lc2/L6NB20Y9P/DXB7bjuD6W23v
2XhWuSZXST9sSFvhTZzPVaR7UftJMA1drfQwsv6jGBov1aaUXRu0mcnBNM1WsADSiuqL6jr0Cq6R
9AtSFPjdzD2JV87n0Q12Hp6Wv9aYgH97oDF0PkPrnOICem22Xuu+xqlIAFvXbejE43jhT3PxbmBK
0mUnXM314CacLVIRST0L36Xa5YiuysE4vDBD3X1JJmtxkHoNX1h4ccKguzJBgxaG53EY11lykffq
pLQqseB0kHpvk/Y0L0Y+han1/PPUJEO5+vVdPYRBMOjk3rp1WBv0203fuynhvHj0msJuqi5S7+tY
YgIOisDSaKp+uhgnoy6bCBd//fprt2vtPvpA3cBrEgSFARCYrSf7Hp6jKWaNjatNJWe8wXnSbypr
glRGyftffxNsnwffpNC2vwJ6p5SQe+usqZibW5PUG9kgdtWOtSlWUScd0XmThKjtizmgyMk6yCgf
y/+2aPZDGbhLsu3vYDDoAi1a+18PbfRpEldluhFtzq/KrOdXebHVgc+lDX1T19ohgH41Fu1IdJvX
4qYrlD0elWNnk08NCuiY1XmQQbTyjpqG0EUinbtpvKFZIG8uRcBVzcyaU3/u9a+f3ratd+/xQTEM
zAbMR8McPDSp7C565PccApLIO8d9VF6lprOxxl7eVUxT56r4ZEzS/HMsVXM2zW2y9Gs2pQHBg/ja
iXmuA5fEImB1NtykhoovA28ScfJrJRl/ADJlFBbRlkcCkpgLSEjvb03fyBSZpKPnGWubSMlFp5J5
NXUTVctu6PvATC16PZSO9zpJEhEYXK0sMc2qYA0J8qIt3zQFLyctijH+MGZlfexs1+mGt8073+Zy
EbVVFPR1lqU67Wg26iiz1WZsPPuq9WYaxjFWmfbmqCoDMiTlmvtd8YZk8UXsKjpB/CTaTRe1bztS
enThDwQeZOoI2AbWQxSARpmdFQmXHyPUs5PEl/hsjqdBBSNKWAmj4y499qRxpR6dnBd45N5izqbr
xrbdZY88keix7MQysm1/zCJC3rYJHvNVJDyc6jnJo88QdJtBp1XrfepLUS6axpLjvK6aY9yq4ks6
ND7se1rml6mKJqGHlsUnJjJ94OA5rDAj6lU7llPIRtMuMZ7wEBbwPpQ4GMZYtsFAkigsLTWLvlGv
ksiL0QLjuluDqyFjUKHM17ITxV9TiZJTYlRzyWnHV73KPLK0fjlfSb82oUVTNi+HXMZLb5rQFbHF
+NXGTcODmXSo11VMhng5dVkNm2McQxcPvVyaOkoWRUfLdQWnanBApoYHXQ5CZzbLvEBEo9Ci5tOs
WVdEAe28qlwZPw9j1jv0eqSYwbtoDCp0BiupW9JuVHY1UTGd+fk8F9Hrfmy7stQuLVxlviRRQsj8
0Y7eJMpEKwOmvL4mrsw6amC2sO8btOnyrsynE5W282pQfRcdlyZNG52Ror5EwqPHmaO0D3rAINKu
RQqiwaSUclFFEfjDrsghoIPcIEaBKTocvYL8whf1OndiTBZuKlR35tuOwooaoxrbMejBFy59L8mi
VwNsHT8OWtlIWHA0t+WyKlKjdNGC84rCaUj9ALIerLh2EaoYvF4nKssgUf0YLcdCFGVoI4gKlryK
yzmQMweLWZGc9UGZGK/Qg3WxvbCpV5ZhHafyq9cPIkULVJNulTLZyw33ojg6qajoBM+CarLt7NYW
anYmCZs4EWUY2WFul8rYKl26wi/dGkEy0QScuCINxMRdsTJpm3oBwEo+eE054wWlfl4u4F/kvSoy
5Fl45FX1IStLVR5To7oizJPOfzP3HaXLzKsJPk3GxIpKi4Qk3SoyQ1NdgjOmJ1k8k3zZN6BBWHdF
PIcST7MKZOaa8byUDpa2B1vFLCKM+xNDOS8WcUTjfiGqAeBMhYX4pJozOt8UOVX+QoIC5YK6MmmP
MUrZOk5F7gckz1u6SOs0Wsx9BAmhN5pGXWTRmLGApm0267LJZu8URQVb4iaKOairRBNil8z1cZLi
MQ5zxZJRb8/TWKWqguUT0zaYxtSDxHRKvU8GeALn6RT2EdnguUrnVMuBefStK0bSb/xGuXpRqbY7
530FLim2IgcBVUL+v4zSBFcfZ1xUyUnrymJa2pHP6Snu4u4tywi/4lNURlpiWLzLvpoEDa0/p6B8
jyHBLWib20COUZjitP1YjCNEFlmcDZeW++PnxiR0PYgxjkKZc0R0JSO4Di/qbFpWZsCbeWooe207
jt/izoMzRt+zMuiwE1M4kDJL1wZS2/G4ErElr1JPqPcVareLM8tauxKFTezF5FgnA9SOgE0yVqBY
bcHonoIHU++BBIHVDSlrbiCzVVN93FkVkYvM9Hn+hshKseOJZWN/3k3dNvhM3HTBc8+fwnos4avr
ep4HSLDLbl6hXGxvfqv6CPYJ9GpKvGG8grvoWw6PKsnrfA5UPsDWaYo4T19XRsCWNz1EBTEcA5tK
uip51WLmTKVpkyCAezRTf156SWN1ivp2Wk4wmUdDN7SQzMPPtg3gjsCATApv4+SuKt9HMNJ1Ioc0
lVomPId14WL/aqwoqDGZzL2h3YTsaQxhbnZaN1WeXUrwFitbIbxpVdx+ZIj4rU5YkpKTWsaqP42S
Oh4Wzoh2hADX0VVD4LEGSLTuOi9yfjH1FtXrFrkh/zD6ZWzXZeSVX92stjYkbYtkAXmApGFKXGKX
jV+qDx6KymU5NsAwCLbNW82YvEnrzp6qMs/4ghNDYjB7MH6qh4So9ybzhjgsSAXbZPYiqo5ZVeP2
pgSD7E5g/AH2xri12GHGPXiiEzARITiZsT3Fpid+EKmiG8DT0gFB6N1mn4wa1FvPQZh+MqvO4C+d
rZzVJcZiOE5HApeaSpzMARtjPz5uAJYx8HLlL+d6GLrzyYniMhtsq6Wwa1ZOA1/Pow/g5AjbedUU
eV2fV/7EzrwOsTpM2qocTmM3NkkguS2TtxCJ2C9IVWBGwHTaQeeJHa1W4yBb8AKuvSziFqd/4Xqm
ctAzRGDuXdNRT8HFbGTCRHh5fOJFzfg5iZE3BIWwfn6cKoRfT9aL5pUBniUN07mHRZqSLqMXU17M
fFP6DfASbTMg/5zhhE2Bg+jGhmPSAGqjrNJYm1mUYDusLUI80ckshoJIs5plC6s/Z1MsFi5yyAZR
Y/32w8gdfpslBtYaeDr1HtZ6aS8qVWEwsKRR2VKWiT/qqf9IgJaTWOf5IN5xUrXjYuRxx85ZVMjh
TRtZZcC5w4oOm5QCmpA4uOkspV1enwnTJPSCTKjwj6OpVnBf0+TF57nxmnFR2ghsBkRjfXdeFBHo
b1QeL20i82QxTggdu5bBvne+L1LNokScf4tKv7PCF7fZzC2veZ/LuE9tHMKRnN+9V2+fJNm50P/n
TMojHDWH9PnnHPV74FB6c3WfgbmltrdiP/gUeLEP3b7sQyDYa9+YkTs+BaqHXCiOKdSYgDnxIS25
o6nZESxqIhRjivnQYA0J3x2fAh0iEKPezi7jb4fuCKUdOIGd//7zfZp6PzPi0NwNc5LQvS0wV2g/
M5qQFw/GVP1mdnnQml7HlutUlv8tA0OPpOgc3oTCIAdDBMbo93gbDOaq9TPWbFDP1bs8aT0/KEXh
5jXMDHADUWzVs2Nro/kyI+ClYFSIfcikiD82dSZPTOzUKRYlRPbANEwXiaNvqKsHCI1dLOzpANQr
/TQA3SkvxqgdhmWGa7YY2JBqP/eKV2NWWBymTVMTcHtFPwTSi6NMpzaq/kpzp0IuZ4MWtrrmBRs3
gjXFK9ajpghwkxduWUcTDYqh115h61GLdKzpKzRgnp8NRfbKdPkIEU81Qcx5ASMxN9w2X6o2hkwG
vRVDuwa+asU9v14RBHfhNWmoWLRUZcin8jhyrl3QvEwX1uBF4dqviUzezA3bYNJ87elwWeAYDBkz
2UeR13ah4rw/90RjNi1EIidFqs4bVRbhPBOrK8+jXxlkdmuwCAhIkbYJyyFqdVp4PCSjPKed2tjK
jouZyGERpzNZdZV457D3V0GSdgG5PDfA88ZE6J6SBJZFVIZQ6EhDoA7hEh1Z4tw37wzr6LTwZZW8
sfHghb3AJlQTmv6CeoSDp0jqTtu8NwvmGbfI+Pym9Tt5kkB9Z3Nv7z2ylB+htuByUFeCmSNgJGBZ
7+bPrTNtHE/SbGxYXo1G48v5UmhPt0G3rtYR1skiDsuVCE1YaX7CljQk6yjI/8ta38vjJYOtLoDn
hJFzjoAPlVA+vp/H88mMfWyBrIlIfOKKZAryuI10MzICzjVXYTtEdGmIb1IdSXQeCxOdYMDIz6GS
4YTbqAg5Lcn8qQOPsLQEogt4z+kykvMnwSOus8hLgEScPrRFIzQxrQuEzehiGiOicZKVmidT6Kha
jbgKsmgOWiYjPXO1ninWjpAV9I5j3XYGFoViwVBW6wwqIzVlRteoCccxPiNRnui8SvFiaFJdlpld
wCbejJOiqzbOcm1p/C4e6zWm5Xk/SaSB6ocIEhaaUC1b9ii7/DXEu0YEnqwSyof2uG1NnsLrDveM
iJrJqJoyMhs0lNkKDEEBN4+qwEuTkEO9QrM2BnP9w6I/tqq2rMt/SL6H37mHpjcNwgx5bDeQmXzk
kQmmPq4XsxUQJPXnNVSHdOybRou2DXhhO82BFT6bTZ9o6fGzOpV/oRTCqsF6X6OcLZu2PSe1/xpF
8zWP20/lmLaLtmqb02+K/92e+3+fT8aAwA8EH9SNb8etH7rkrdQPlwyvWYN1BG4ZqOLbYsWdS4am
D7r9tYSFRqHIADHBXYkDH2EJLAMUQGD2HPjeey4Z3icAqxKuCL27TELB97dKHHy7pP6z5DjiEBJA
ZQPeLoWgrACxwa4BGXo1eU3tj6/cSK0IkyHKMigrKAcFQljpBYlOuzmPIXvKhiF/j3vsAUWFZNod
N3OK9DT4c35mnRrnMJtIN4f52FR1qyF18vn15I+i1EVjojnsYpM6DVXe9eTjWH1VqMTdpbPWmmWX
ChYtIjfPalE09egbDfVlbw5bPyZzo00+Ql1jrjEDxrGPJxyWJDZzCI3rJQbL9q3WmONVj3IpV2aI
GX9XYC/xl4Ka45TgBhJmn3VrIIHdeqKuz76OVE7LOIOKLXCRWdmF8FIPtE7yaZsXyOJzGlU+OL8R
e9o1bgi9AurTQ5kKrRKwVqj0Mj1AifzzwKFoPM8lXXXIgbXkbcxW3CVf/dFjuqzk16wqGBQvwK2K
Bo41HpCi3tCb1STq8TSJG3sqoRqu47QkuujaWENhs/qMhMg1wR1E3SUZcm2Qh3TPMYQsLkVraVii
02isrrDclmLnOj5pgGC6YOAJdDFhtZJNdZOLma9oQeOwSQa2snWXhshWvs5jkYWM98VFjnobtJC8
l81AdNm2Yyg9qNDEkt4k1qvX3OSwLIaC6jJmbWjqWGjke5+bPIrX/lz0AVa1XCXGfBVjFEGmmyZa
lJDkLUaIp+CeiFjVdWlPFEfZggDTdg46lzqu/fokH4cg7TO0gIZ1BjXq0b1WKuKrUdWQB/cJ18Ae
5CE1TOqxj4awmg2oKelfRZUTHbcZpFyGIQ10ZaxrCPV01wyt7qFat8KF376OXYv1FI/da5ECozs7
3OJgdi4/hiJxsZyBQgztALGWZVMTTlj02pa2DaOpyte4MEnQRlm5/j+zCe0226bzX5nN7+/l3beb
t2J3dhOMI9v2M0tgJ8EUCnC/P+wm2U4TSgadLgRRTODQXSoDr5+GvAJiIgj+GVSV4dBdKgPNODAf
DrUZaORR0JXzex032+G1XbsJr/GBnj6gR4A9hfmovQBQTnGrepn0r7K0a05kodi5qaZTWRXgmnvz
3i/LRZt1+bqC5TjfJLVtvde9c0BXz2kATGnxWiVNpbvcve5idlLbsl62hU01nh2UOHPsrdJigDCj
SZZxPiTHwKOjIG4ipoHpiJNADW21LEVT9Jcubj6qxNXaA6+hBZCZWdAQy06GyZtPOGQKSRQ46dKT
vsgXjkTeuvPM11hVM1RXUbRyuIY6D87VcdHHw/tGSXlKoIfmXNIKyhjpZdPTpAll6dCywTJdDAbc
gBhUBWHcTBdFkRJNfAXbEKvTXJgubGMc8I50Sz41G8mTQQ8UAsyhmCftRR2wo0k1rs1oN9haFXRV
+9FAIOjwGCbILYgl54jFp+PcJbrLmh4MnWt1JmUw9rYPK0BYx5HXhfBl8ddorP1Pbs6GCHpL2kRD
eQeY98TitTL9mySnlzJDVX/c+InXvU5x1a6hQBNUbeKvoRnFVpd+hxQ4nT4Sg6YiYiuKxyHTEAJ/
zaN+PIbWo37VV3m+mMvqwmV247PmpCqSTYvIqey8ZW3HE6/0F/UMrElbaZTNAU+bL2NF3qSd+vh/
xgOMBzDXsGl/HnPdvZxs33rcyv2wHgiIC5hr2b6GC8ErE4Ej+WE9MLyiXgJD4vv+99DqznrAVBS8
gxESKqjwbA3OnenYNut967tmgsCL2kDB32BBBN+N8iHkAmsB1WHgbWEkGv4HCFvTcq+DoGygL81B
Krcp6TwsGxRBLoTERyHjsBb9B9L57/L5deSGFWlxSFr5uu/id1Ex58A0Cho0LIcg3p37Z1nsXdMx
f1cCrbvA1GQrYME/+x3UYd0IxGuZrVEM3X1NXy85NlGQDBmUUxD+5FVD8xl3VappVIxhxtJoOSfZ
ekyNv45ic1JBmVpnNPlQ8vqscurj7HUQx0kTQA5x5bIczBe9Mj7+axocCfxuOu8GqC464OwXTZud
9r2LNS/r4YND8hMYyfS0anAUQhnWX6Ame5f3xSfkxHzMyvg4giBj6ct5Pbfk02DLjapM4Hxxqcwq
hwCtVbWBBrHxXZ+kH2XqrUdUf7DGi08EaRbKsqCsBujjQ0sIfjeTSzdQIw4gTc811GW+1E33CkjR
Vrf+uFHpSHWdkmNWL7O202A4A0Iu4/bciGXT5R9boCU0qLiydvZ1h4dFwQqrOw5hQJ4R+S5ika65
tevBhzpSBGwLZMlnflmP67oTQxClfTjW2Rsgd898VM9LBmYnGIpi3cKbcIyXjIuO2EYnBkExdU4C
PvQXTqo1ypCvERQPV0lFb7o0ZSdFBd9XFIHl8ayVMJ/R7IC6Qf5ZAkXt2mZXkx8p6NYUZ2OXvioa
tSkbtvAziKRql52NcQLFW7EQ0D+hOzb5iwLxQVcJWNN4rqfAHwesi5xBx6KwNkjT/2Hv3LbjtrFu
/UTsAQI8gLc81EFVUqkkWZJ1wyHbMkgQBEiC56ffk85Ot51Od0b+685VMhy5xCIJrDXXNyf6OinD
Bg9biQlnX6/3UR+++41zFE7Z7wZLk5w4S0zpcp3CwCahWyZBy74uVLaJ18oH7dYyLXDnnIZ98lFU
tTUIQ3Q1/Nw67lFxc9vI+W2s5+fC2i9NCwbPnRZM94LAxEYOMlk6t04r2R/HpTfp2FYvQ4nGd0Uv
lZRFfc2tx5JqnA9oIcyuE0yjpoNCXpkjo9j9ZMi/435gUtNcvK7YVQHZ+64imMDWcTNyGi+KPcpV
vym3PPXudGtWirqw1ze57c8EOAOthzVWpDnykX+RQC6jQuxRDKg44PZpstum6HwqTXAk2twMnfdh
guBYEXFxiH7TVn2CxoIvdZ3OHutObDC3w1iBkKjmq6rH/ZyXZ28IUr1OhyYyR7fzdv7iHVpR3AiP
oOdZ2KlR02my5B5Eg9oNK2apon+dQuym1lt3oEsuzaAwXV/Dmy6iD9huTlU5HrxqGXCF9XAEonvx
SHcrmvCim/GrLZcw5oI+WmNfhG5P+Sxvh8JLC7E8aKJIXOGlrxTAlKl8EVW494U51EHJj4uv98E4
FXg6+lumI5QxIbt6UhwhK19rZ8xjQdqkGLrjGJFXMk8qwbxQpREdHqbCPw/oyzAIA3eh1/oVI+ZD
CG20WfqUzquTDFzfMhW8rRxakjNlfTTtVDl+1t1wsD75vlqBKqCk2Wrz15K4Po3DFTzCA8V5Ngno
TkV33PhY+2bGbhwPsGkXqFMkhrMXVce5H/rYQXkCnuXijeqUY6AUSyNup9yrM0yEv4xlz2OnU3cO
ifatie46zPkwkp13dUug6Pruc+kO5xlyMaucOzeXj+t2Cxn3vzTujLdRZIxOJ1c4LzMZLwzCI6nm
tAB8kHXL9E6dABVXI0q8J03a9rgXnevv9CDKfcvrt4ax2yWq+7gvu0Nl5L7SmMzYwH1GsNFNizlX
UcjUt84VEIKbUO8pFENWlusXqcLH1e/FWaOuORKRPzS1vnU0yeO8VZm3+m9uE+zBPccem/yD7AMv
w6CUHqrZw7ssPqqll3GoDTlBFjxjvgDZ1W38HSnZPmwh0eKhaBIK0TMOBDnYeni1U/nY6vW8DOIp
7+xBO6uI54k/66nc45qfxKJe+rYYMRS+r1A6STImVAZoz+p573vmMvXiqSSrTXkwHhy17vuVHzsb
XFflHjoR4atxL06L2W4xLtdxoI+AwXhGUMClvJuqeHSna8OCW6uw32fKOlRlQE7KZ78ueyz+QXii
OoekyNW4K9oAze0aYuow4u1cz20ZLjFgqC5elgbT8WUfCh3d89rncd2POludso3p2JaxGMc5HpFl
Ngp8nYGWO+wwflxw5qYNVQkGaYn/g9xxAN8DqonNGI03Us113DrLd93Zo4+3OK4WXSVMdm4clDPP
fKVeRiNoSpagS0FM6p0L4MKJaxnUSVeL8+T2zUW3bv8q3RDVsL92zm7gk3+1k16BNa8Niyfl8RLq
hOdmzbSqFBPP88S6G8ip95RXO2+WWUjX57rNH0TbASIH/BIynVDFUU277Ws+gTQJxZR1KMjjsZr3
g5ej6e77L6NEf1/xz17ObsdpwSZTpvUw7nrowyWzTw1Bxc7D4h0r6zNh3SGfigvx549cslO94muK
CmgOJTNAx9lrs/qnsKxv81KxJABWJVW1A6ByMw7Yortl4GnQ5RdJ/BST4IfeViW0hPXYiODsz+XB
7dZYVM2xjqbYN6QCQlqJJJDsGk31I3TsdDTLktZaP2k16aR2qhMppyMhzm3koS1xuz2d2yMAzr1T
wXgQtifR9C+Bx05Ku0BVsNMyvqt48zWX0LUqcZ1zVAqL32RrXmSdLRO/7T/qIjo7Gjw8Hrp5Hk5D
pL4GjIiN/z0aUj50VGYBLZPIk0vM6uBQzOTRVk4b9xicJOBf4yUU2dpNu3wUaZRL6DuR3fXSPdQD
fR25lygJMtd3AG6FzoLSAio6mkys7tWrAsMgXB8UU0ezqBrmeBDq6DTyGfLJnvH1noAwi6vefVom
d8dk82JgLklZTTf9qfyWd2ZMZvAaWV+wu8knd7lgbzPpg6yUTebl4V5G5TEqSbQTIsfoa/1oFv+u
b1xc8aSAUVE8LMJMfjLxcEIt1bhZvgT8Ylxzo70hM4oHadGTq/Kcs+rnNXEE21nrdHHuF27cwa5x
KJbgsz/J5THCSpNWaj7PMx9SZzIvs79eGyf4TCmw/qZsX8mI8gWY5a6yo0q0xVXzHH3etvS0QLZG
ExUH0SmZ+E1122CeUQlnvTi0O8Ek04KosHPadvX30Z0hei2tTj3811ItqTu2j6KcATmu9XEKqYyX
foC+vu3avvc6u3jRJOEi7eYICMCCkVlV3lVgOjzpFcewWO25ybsAc3X2QoUC7Nnl18iqz6RsvMP2
ugcMMl+ksZtX3cg+86J/1I13dae5PEdMg6ppjqIhT1SgojE+ictp2AtiUlJX51aQ/RBibCL8+vvA
jcJaTjPB+FPVm5uyl6dqDFBnThCzaP8KkeshmtGJ6ia8k664q0O5U6G3nPQsn1sVffZmOFawDp98
JnU2iMDsaO99XuvoGFnXgXGk1Hs94i92Wndn3LJPwQePB6kUja1usDsKrybsESA3RRvRdY6XcbV4
VCYVC5yMumW+yuSnju9P5iRoxX7SXrYxSQSzO6bI2OMjqOR/aKBoSQg4Jl1eJBw0Wt9aSAqR9xfz
n1+F8d8/BJNfQMgMHPTWxf3UpVX53DHH2vJClqOjbwl0Xcd76qen/34t6ET//VqgIfnb2Q6A5Ldf
46ePyQmJ0AUQFO70+2Q+OeyvUN9///sRzuQSCnUfX9cfvysbLYExQa0uesKDduD5X8ys/uT3D+Fi
wzeEL8qHw/XX31+EOl+Z39YXjr7Dv/ej83//fn4Flf//bfjp+/nDvfaCyi0cLKUXr947dVK5uy5M
vTKeP5RM//ZHgZkIMFUBLx3CbvHrpSguyDqtproQeRi6pCdxA33aS7ANO81fDG5/lQ9/XNYvt2V7
xH+67cQtAdkGSl0alkQWFV2CVwtr6jLu/v5F/Xz//3BROpSRGfhvH8TKVMPdVuywj2xbcfMXz9qf
vJdh5LqEceyOG4fy60UxX1ODjVdfLGhInKQxZ37+9b9fzp89bj99xB8ft9X6qJV8oi+av8v8s+f8
Hx5nEPEeuH0w/P4P7ean+yJb5feeQ/VFYgVkYayW/8PiBUsIBoJQfygS/zH1+/nOa0ejvg9cc1nD
9ym8G3QTk/4v1q4/eWnwUsKkCcXbh0vqD+J0VAAOAfJeXzoUfkvC29j1ryOm7U26sr94kv/ks/jm
30K+Gw9d6E+/Xk8BqoBF0teXYuups9IkxZKFbWxQYz38uPn/GzMTrJr/WfL87Qi0fxc8t5/6XfDc
8K7tcQLwBHETY5GfBE/yDwLwCv/85pf7ifzi/8DhrAypBMwH+fRjAv275skR64dYNyyD0FAxTPl7
Tro/cCrQPDkFYYZfEDn4GINvB138/NSLLpykZFxdHLf9jBNiAcQO6ou7+Efl1jqWaIttN2ShX8dk
DHcrE+doAf/Ba0DEU90e67KtUd06SRcOdIclYEcMe5zKkWY8NEMyiuVM+jwNHAOy3O2fS06bRLnq
XPitSkanO6jKvtfBLOLB9b7lFPbexqlFIvz5NPPxWzW4bcIrdDIYPGXBMsL7vOg1I4Oj0q725xTs
ZZ+EQzTALk2CpDd62Wmz3NPF91OUe6dh9lkM+vKVwUkDvGv5Zkhwg+ICvf6MF12MtsIAlQGZgfFI
h9H9GrkvY47SVfKyQnPvTFDhYCiWgSyTVWBqXdcij8P8yES/W0KTxy2w1JhO8/NaiNs+1Kcmb04F
rglyX9nFNaUPU1mlo8C0udL0NnfpU76oHqOXoY5xMCBsdHbcdCiHw8rNDjVbyiTnzQvYOCeBS1kM
aGXR84rHnsrmDSz487J606nnFvtVb/fKnWD4aLu3WQD41dW+bqYg9gbfxN6EMdTAwAZhZbgtBH1m
rWXxUE4XB0egZFU1rCn1VzQ9EVhr0UXO3jHDA3OKb77KzR7ceeKCJj+Z4L2f34Hc77wmeLcLM/sB
eikOxRRZ10y1eY7cQj8qoprqoxTrt2kGxsYIJkJDY8K46grO3ztX3uV4vo+k1+Qw99RcaJdHKCdy
ewPfcuJFaH+hYx5w+q+MSUHKpPCi5Y7JFZhraeppD8fOy6SnFD1rcctm8wGKlx6IERG61YBDX/3f
OvdjtEOwEf2Xda7eDsf7k3UOP/X7OrcF06Fwor8nJ6Cc+Wmwg8XPC7YTD3+dCiOhAaffMZS/mLv8
hsX+a5nDvoXaG55aREaHCN35G6MdrLNYxn6haWCXjEBlAL6FCRnRIL8uc6bx18pfcnshij2BnXyk
8OvXnr1WcyPjafQg7RK4zlzvIJdFpnVV5ej8gynp5yGPSdu0cbhMQwofygPx1jUpmtCNJ68PYru6
1560cJtG+Ls0jPyZko17jARYiKZQj12oZbxqw2PXzLdOSwzYE9kk0zo6iTP7eRr2AD7USJ2466f2
juj6KcTE+DYcV32WlPaxCSjGAjleMarCvWcx0eXAIpKgKCDddvqp0BzjXgdYKYGg1UIfzHkvMlvB
rBJ69Qcsjc+wgzmxov7BMOfRWSsAOq29XTfnx+qLLxiNybj1hyXpzJTp7ijdsyvYtxHHpbOkj8TB
mFykE9S+uF0HiJJLpVKt5iqlq22yZpHvqNObeO67b0M/3UAfm+KI4IK6EbEOHb9fgKvGi86c9Tz0
7s3s8TdfBpBkpBdHi0/SKPTPnejuy3qeY2/kMHbP7gWUqYKGPWQuJ7glLMTQRwh7DDe2BFTqAxWT
d42c4utM9dVqDo+HYiop3cLd0dagJw5H6CwBtrImN32mqk6meTVB5iD8DCbmuAxABzFISiXXD3Nl
seSsg5u1DK5UbsEHBBHsguh520y0/fgoesKS3I1ehGMkplbNviXyxlbhkxet764j9L5eqrjHsifH
IkoNLaq4gU0sbrwGU7Jxm821N8zFtaxdu49YjdY8dzW5b7xeP/K8xQd3FtsBSlKv+1qaCbOP0bnH
A/4emdLEnRT6pqjc164dbzvY3FKHe/BtT+xjnoaPMVyWne3nJm4tzw9wnn2p8YrGBr9KUgEi2EHC
ePSpsKeak5tRys/NGp3W1sV43BR7MzkIeFiQhUE42fUC8Kyp8gnCkL3r5YrXZ3wqRP6lLUJ+0Axe
P+nUj+g6t6CO4aVl4bFqe3HgPiSQBZqIWYJ6x60+BsL/1BWkuBn7jXaS6yP+zuncQkCC9ccYEGlB
l/yweY1Q+ndutN08wGEJCfIgdXPvxRrZJeM6AAeyWt9YOsxQesMQQheEOGVVn6yzNa+CgIPSRdHd
y8CP4om16awXd8eH+hlwrYxFX8BZI93YUlPiBjU6y5Uc4PKpSrztPT3a0hQYfgVF2tHhSFZOji2H
qOTmah/gd8Hski0xAmX6mMMdYmW/xqYFd923B+kEqTRrDxdmD/RDOS7eNK9P4AKb48UrQnBsIGo9
Fz4+/Ivj+fdSRLGx4yd3lie/G24MAwvsdY9jCO58tfUe/F0V6zpfY125d+M8YNbla3RExX3tDddK
TM+8mm9tvb7a3MN+ixSCuDbyGU7dG28mB5B9Tz36baS4aBITY1gcQdmrgFWFpDO7euEWTO18m3fs
Wmk0D/PkQqRubugw6Hixw3fPz99K4V5gh76De/u+lSFqtNF+yXMfYme1vqoC1YXXcp7BqvZm6xAW
liUHMkKbJ1MghQZ0YzYqPDVQe5fqmQ3SP5TQ79k+4j7NCgOjqV+a37SE/7UqW2fxn7fwf54J+Se7
OH7w5118C8QCi8XAYaC5+NcuTsDLAkcF8xpgw94ahd/xDP4PfzuqGEGXYDt+7VZwLD1SyLGNb8eS
b+TX39rG2a897datMOQsgrEFTUYBgv+hf9aCj6MaubkQosShEfm+ECiWOzadhnBcQCBRe54HavaM
rHiQ5uFeSw+xCLr+0sGGkFrHHvCi+FnEuiURUwDd2CvaBIPWFcvXRKGIcwccd7BC5J7r+1ZELwUG
O8nYMZbMZD3B3XnufO/ATQRTn1Ps26V5ybkwydry27VbUOeaajwMqr8RtWxhK/NvVl5uklV4G1Dv
k/BBTfUlx1QkrFLdlSgfuncKZhwmOvE81n4TTwhbgL0YzEI1rreBDl/mHC5USKKvkTIvwTyeoso9
T6F6cvz6tudTk8Bw+El3YNEdF8bxfDqFq/egMRDD2PMzLedEwIqCSiVES9ecm9C8UsAurKhlXPjz
fpyxiuCheO8V3n89A1V1wj4rwUEgQwjjYtbNAZzV7ZJxrodsHMcF2QEQM6YZEK9gB1NgfIGt527a
PDJindy9X/U7GbTYUUfo/hWcCA5d71kefKV981QNyw6uuTpmQt/PXrBbihpQMOasiKO6D4bwU9Hm
wGO95TUo0V2Vk9+kKPGqROnS7Fi52FQDYEWG1bWbdYgJnbqZXfVRrDVMjD39FBSdC9MlzZPARBc5
hvRO5eFh5uKxvcNoIEAZg8CCU7BImcDbsivDEc1SC4Nhv8qsZ/247wb+WgQB+tNWgwI25R6tMYKf
avO1CgOTyh4NCpCgneKwDxKRLf1yKBdAavBLfOk69hH69GMyRBxE691t1st5BEq8wMGQyUV5z8yv
4DJfQD+EeZkY3d7UfnBUvgs/c7HruMAeCKt7tswzTagIlj3/0Uppf+izaXSuZTN9i9Zq6hKfgLIg
KCjW1rNADtsbz2kpvB/NIQq2jYzC8KR5yFPP4we61Smmm99hwsa8FwM6W2dk4xnx6G5D+RfDRpYU
W8XTem6LabyYsyocwEvCaJi4W43UK9S9zFcPEUZlAc1ZjKiQo46Ccz5aN663WksJifciVEPGURvv
2FaTYZZAds5WpxG4OU8LSjd4Wr6yrZbrUdQBowbHDmv9sbG4lqKf4FZdsTV7KCagCV+MwZsit0oR
EOR9jtKxqAlJm62aDFBWKh289SgzrbmWngdwAxUo53V+nANzN4OvikdUqRE13zyrUCahfq29usnC
ylapMztV2mxl7uRvxX3ri7RYnT2qELm+0a0u7s5SglOeIK7BfdPmeAzGOn8HLD/GdGlv863E1qi1
ZwyZNPRyQKbFsyOqD4wEaUy1wbONSt1G0FG20j2CLQGWVPWEiI7v0VbfixnPHdtKfqNF5s1rC9sY
6olRtPrs0Nm/ddEsOGXd3oH3crZQCsyTozVP5627GPLcJKJDx1FM4+3YVRyVMLoRFZWPRYen2feE
e8RMrsBMEXccRnjEySzr1eRNAOIVRiFbjytYEOeBtd2QEnxSXKywMjlbdwTsMt8BBZKpaXvvUGy+
A/RSFXIjIDa013qb3KLdIjl5yrfd3KXjTb7t72xd5zK2puvkpZnd7rWKfDtlAfh3mdhh49RGcJr9
iJkoCtVcg9ot7WceicL7bZTxv5qAYJP+zzUBIiT6jz+pB/BD/6wHXHT1iNHE+AhjAxr83NVT/BGa
abixQtiwYHf5vR7A6W5o6DEJ3LZqtO6bpfX3th55qwi1AaENBf+3UMa/09b/0Mt/beu3wRBSxbYi
w0Mu0a9t/djMFlkeBbvY2SMo+MfjtHht6krGIAC1O4QoDmiplxcQFiy1wvvaMX7uUW+m/mbXlzN4
4r4rTj1W51gTgDmSdDHAjSGd7XiH4EObelGHzDszfFki/bkosbzX6qHy5F4v/Q1sRA9tg/VPtiC7
ooZagEP0rGukYQgn/GSryCQKkwUY6fNPq5EvPlJC0IOtAPzm+uILdnGnIItacxOq9lj5KzuuIyxm
Q0V5MhbzHolicF023wGcPwyT8G806h5E3X3hcO1Edn2egagjhhBvLkMiRxx4tU5Zkydkhv4aNsXz
5A5vFV7MBPaYAx2MjhsbQpEsGPyd6MFAPrG7qm5vQBuCWIFXpB1BAMyOQRel+KWsO6gVor1If2xu
5rqH+72EEhDWpoLBvxNJBLDpzgaGAC8cwGa23vqdwxlzN3rh17XEl4t5f3Gl8NbHhe0+wB1Et9Ko
ox85aAxoswCstPxiyxlWnHDCXUNJFneiF0lVz8DBBCZkaNOCfTlCKQ46RBN4cyiuRDB3vzYwmrQC
wZS1Zlgvp8nEZQ1jDVmUPDA2q8wBoLaXxZaRtSLxKZhRvKH1OdR57qbuvEDA9Gy5A9+X77yJqayr
exhiDaszzeQZXNNp7eWl0u6xX8SaljX/jgl6EMuw9jLHlixdhkVmbh4u+wq4R0ZkwfFFuJi6dG20
7yVWcjl3wz6i4MVq0SH0CokiDxA5+X5o/CKDZRhgMMnzFGUuiy1jzlVhwBvXK660nQMADCiOd1w4
fSKXiceLEU3mIKcEwQNVeQP0ddoLWjwt1N4PA9FZ4fAlNn2Dkx7Bg5RFgGwc+IlumgjtmYBbCYji
9hWVVL9N1pefNEJZYltE+rAMCLKjszCxyrV78TmUpqJZc0AUMPOwzhkOfIIUW0wehLFwKL/Buwz3
kQzzbBS1cyC93A2+yvJco/NGPENcgx6OAXnXMYQKuKiRaJp2Ta2SAPzzdXXnq5yHh2DzFFkqga8q
qu4Q69QfkPzxvdfrF0C/xa5v3AFbmOpuS6Q4JGxjZ7s2OAbLlJ8DJxz3PNfeA3WG5zIyvZOSfpjR
K9DZdeNyaL5O+K2AKAJDK6SKLS/avVMuT64DGGcuRJCQMbrRNQ3ggV3cOBoH+C/sAt85lD9E6mSl
1g5IRnIoGfs0ouVP4Px4qlt5E0p9P4U2cZzw1vpveUhPgwnGV0hlH1PQn2fPcWIN9Tvl0zCdB2zH
hygC4Vd2GDSIipwpPq1oitM4et9bJN6gyFK3ZCJuPEbh88oRWFbKlWNYUH+zIVLMEHJ0NHK5IuLx
PPglEraKkaW65mZflS5SXcbCT+fFAJMroZB0+N+1xRAmtMzfLQtuoQtOYHDEo5rzN2KGz42H5YGT
ZkzDqjuVk/s+V6D4bMUQkGWN2MFuCPcJQ8qb12WjtBvxiTJe2fHW8ullAOGfho53H80hj00d6iP3
ffyfPUFdUCnApb05wVh2QDiGTkaY4CUx7aWM+iWWCECKnTlK+7n7sHlQxf5YpsinCj7D8FH7mdHz
rab9V+OFRz34r8jE8I8l7IayW78gyQt5VWY+4KLVrqDI2KrdNVVBeFdIrDKRcaBtTEkVOQZIkntw
2uCwTG0qgSfHTjldEfh7VtRC3SvVlx7wd6jZnSuaveO1e4GcKtzTZFYu/tt/LxBHm9hy+G7L8B7B
d30GxO3Y114BG7xKHK+6IlvIwV4wJIotp6JX1zpyUrcsnhTCEotAA7ZVOh3q8kmVfYJgly7WuQ3j
GrkIObLTyo3WRVitjWgC5fsjH/SClpc7y95yajm00kolItAPpOy67EdJ8L/aiIBg+M+1EULoBvv+
J8URfuqn4gjBHQRGEWR/YtFCBfTPkQfOPeU+AayCWcMPT9vvxRFO7sJQC3+EeYTPCYSRfxVHmPpi
EItJPWI/tnlI9HfEErrZlP8w80DaCE4K+hEggoPOtz//CZlADoBAwFPuXaq1CZfjGpgaacYF6/ML
woNYXaPYcSjIo+05HYrHxRNeXME8hZZ6ILGbByXo1bbKhqj3UuvX5ECmCuvWzFCdjObdXVaRYMF5
X1uQezVD2CcI4ZOqBbKbcnkvWyTmiLzPmtp68ciR2sOXFWtmhKoKU90cwXbVGE9OPWZF1yvg2P0J
3EUUu2H5MrrBtWQg2xUSj82c6nHdly0G1COpAcNLc12hdMKlekRzCNxVGThoesC+EXKEsJqu75Hs
rkHQEpzvSwNInPSekl7dDt5qdojq0inNlUFKXvud5eJ9kBgi106Y9csHBA0/Xfw2Gx0mUgVge6be
S6MFxHAoLQfPIhsRqhPSsBu3iJmBCAU6vkvccT6xtZQZ7daPgee7wYwnN5r2bghjXWP2ltmsQ5gf
drcROwncHKANP3q82tUERTciMSpV+HpguPER8TeIHN63sEc4Q/nEt3VCqeaAmOhsNvJJYSHpe31t
OnIqsMAgGwgJU359HXFLh20NInPZ6X3vuHzHg+bG9esv2hYYjIT5GXvcGXlvOvGwvwc3EPK6qzuj
/nmTnRI0s8wIfXXWfmn2tYs1R5CKvMLLF5k4GKuv1GfYLLsJIUzD18gWu5BGArQp/rgcpg9UPjaR
do7iGnaQfinuPJ3zDKrasmv74vvkYKGTfPmMDPWnfp2v7ui+IRX0Br6cz+UooyRAinYWCu9bSeeb
iYjlTRVtFcOyhBxOENJ8hGPYJ1DZ/e6KMKxD2HHnPITt01LismDAxMhM8Es+AwvGNBiqtZ8OBehz
vwqirA8WcljD7640HqLd+uexR64XPDo0VciZqwQiLnynRGwkAjgb1wdrMHaJY4qvomrXRA3LukNy
dYNKTOypYz8jDeZg8NokmmuwrwtGPaHd7PUgDJCIfpwnL8dIx7lfcue168lN0IBRl1R+8vNCIKUP
QSs2xygBsZ9IpTqosAoxJAKui844BjuEjDQOsj2ovtsCBpPaex8tCh6FMUa1yDsMd04NgwUFUtdJ
I/AwpoyNicQMoCtg+5b9OO3bGWFWgIrdmEbqXQMeX+GBqJV/JFZ8ZhVrHlcngPRXcER9Uv9T6BSP
MyaTJJpe28Irj00RHdcZBhXBm1Nu7GuA2goRuY8ObDYF4xcnQgg9CT4ab72r680vgWdzDZY1bVw9
pMgLfRhH1CaIWBNDue9kEWXVHOkYb0/wZkd7LKgcHnIOIhdI9Q71/ykAbP6/re235Klt+v2ft7bb
965szJ9tbtvP/b65gVtCmDKFnTsAc4dX8KfNjfwDqSuwzoQAhrDF/bPxx7kK0OVhQPkJAvi98Q8R
nIH2BYeBM0B8m5Lwdxp/99/2NpCa8JMDomOIx8K5xL/ubbJzKhqutLjUZPXy24L2/tvskoIf/U5r
cW+cCaL70AZvQYGI10PkaKwc0+xMnxEBZ5+jwjOPUVT6ayLZMEFK1mH/Yhk2JSQRqjALCgkZuHSe
Z8ogi4kVvD+lFWw2ASREvR8w/BrG4Emo5X0S6zvyYlGWzw+B5YgAhamNqrq80AXjbmQkIZs0Twen
QxiuhEvHYpcS3WiT/8feeS1HbmVZ9FfmB9ABb17h0jLp7QuCZFXBe4+vnwVKarGoEjmKedVDR3RE
NwuZSODec8/Ze+1QnJ/TuhmcemQd7RnF2q1EfT8vZgYe1PSzAnOLUFBEaz18wLBpwIkH2yrXr9RB
u8oxG7kpMOI5mE6L2eBUGKTnuqivK0V+iswEs0uAh4EhAP14eVk2ZmxxPhhKnIGqdpXoxpF9+UHO
U5x4RXbMG8ryKO3tOpDpELdoHFTG8TZcQ9OplvRqqKtbDvfVmQIIHFGDygR9Xe2aHNDgqA6Mh/HK
M6KfwJ8XYXYsIEUsRvWg6PXgtJJYub3YfF/aZgb8ybncbPtt1iYb0cq3UoqM3UALPwuWo6pkCaBe
YwulCRBhHORDSXREB5NBYcF/U5l92oVV3hVR+s2w0ktTjVyzyl6hcN/o5epP7xL1GGjBLq7WHnkN
4lUzIvZJ5Foh+QXhatstM/WK9v4NZgPGwZrxTS+LwwJbrJrBGaWiicah4NxUDeugP5wO0JAQIY+D
TU92k8XCZMurqZWj6TohuEv0NnN1XHq+NMWeXmEk0GiVCmOAsVQ0fbU2hlPPwAj9RGt2dqPuulRn
HL1K2Zq0v1yGQbc1JToVS5/iURIVN5n7W2RQL8GARYyZRk/jVvTZ7+5BITwYQejIjfRM5cX8Zf0Y
4nAlzMQ5BMt5lsYMs2XfCi54WMuTOvTHzEovsGU+xYga/CJdEG9PjM1x43U7sZoPnc5jJ2nJsWRm
ZtL9Afpi3gNmFmz4k7Ej0ThzhCb2sVictCo/V6zmAK/pYmjRtHbrvhwaqi8o9RPHXTfS5NucYzMb
k7GvBv18Xp2+hd4fBCvww6EuXVRfN2ZivOjCdEZkyXdwVzdtZ+zAPByTIZV2YmSg7IMnjjaB34G5
0zfUbrxiS4hvcsp6DBD6OV8eY/AYPdSNRl6HmJ/LgXRRkzRSW+mLILD/ltRYRpTSKlLyi64vzWOh
RAcj74r7SIc0kM1YKHCKZgch68H2rn7cgGGpY+QQxQKcV92cXUpYHTOhRK9N2WRHlrq1zOWYFd1Z
LzGd6tVHuKHPnQKJU+Oio3yZ4M3KAoujfXfeZuIGzvpWgajpxwE1qaardqHiMZtTbC8y3UMWWnxN
0R7OsnKIpQZdy5SijZuwx7BAFLSQZGVxLavutlJi3vd5wVSkhO9p1zE5JnUmdpu85dOHRYn1e1Ll
Cxiye4Gm0ynixQIlHmvnBQYuDtgNP05nTPdLXYRXjSRlh0RNtE3HLfDGTMi2EiYnu6okg7ZRGyCW
GvQu2naCIjD7irj0XImSLyRoE/49gYorT0Fk5/z7bZopX/cWMdt2vzqH8rd/bNUQWTQFpiKTeQlm
lPl+aC//B+AKG/Wfnfg/h/b4AbACaOh/wVm9P4ca/6GrrmlgVH7T5f2zc+g6dPhwDrVW9d3aqV/t
Qauo4P051MqNxSqQ9pxnQ8w26TR1Ke6BIKn7gn44lnA9v52TkBbSJBzNgglYouUcCxPsaYXAQbRL
bqawO6TmdD2I03EOkKlVvKs2xFXQufGyt+LubsxBDebKTot1BmZBaderKnaaqLJ73ZmQKscLE7+c
NignY4sJszVtGOr/UMywc8Y3MAgMSAc8q+w1KVbAxYRflyQmByS6SJxwHmcdBUubqbNHoyp3xaa6
UXU0SGovyEy3Q0epFtGZx85WQ7a7pgjuMyKDOllHU9diJ4nHF501PQnq3NUk4xXdTOwMevyg11Nr
64a+UyaTMp8+KozvBz1UN6ZRLSvKwI84OthKm29lfdBwUprbdgJmM6s0vGiKv8xl8JJ307lYQklg
7v6IOTB2cjXdpOm0o3uLgXUaG7cZ6HyZYfUtFFX6glLxUJUslhwcFDfou+96IC+nNp2f40oLDpzv
CRnQ5NymL+oJhSldyQwPXCKcMJxjnUKsNOELH9ODpNUDAzqUEjTgms4nKsFZVCNe7Yqln82K6GQQ
6z0zYk4YWgt6ZLloz8BQTG7K2QqTeFy5QYYLpmOuhNAsjejbg9GfxTjwCrGND8yos41pjd21rA3L
HRLKyC1F0NMpa+oZAjM06mOaPpYNYie6nfoDE+38CqJmfRHh+NyZUjMdawsuxzBn5V7WmWpiIFOT
I7yuaiWjT/jhF/aAJReDlwmmhQnKV6h3hSxepqUleVE0VrfizI3fBKasPwmJFf5QTWbb+Qq/Gbu5
96CdOXOOZrNdETnDCstpG5jj0HM6DkITNJ0aqk4LXUdswewIdX9qVvBOsCJ4DJH9t1+xPMYK6AF9
dVJXZE+dixAUVogPdnmQ+iHebwA/xYr60Vfoz6KmkluuICAjBwlUvtGB5PgaQ/GKCwIcVK4IIeYT
w50FmH+n0whjcwc1JJhAh3B//phWDFFeJe5kAib6dzH/bTFn9Pj3i7n7PfufE4/89190FPnD/67k
yn946RFSSb/jtd4dulQmp3h56DP+bvv4o6O4xi4RE6aJAHJIoZUVWpS/n7rIpVVMVM+s5LqyHtf+
EVuLLeandVzFIsJcF/oXWC0V0+LP63gXkI6WLYV8UdBdF9P4aIT45YfZe3dnLn6b3r6nEctvjck/
p7p8E5ndgi0LrRmJOtpHlRdZGynDpnS80DS6Jh1od9XTlp70MdjXpRym5AwYtNC78tya+2OdVreG
3ECiR+zqjCRWeGkjpYeh0SyXd4jYmbnDVq1Vq2WleRjbqnJyM6JsW6ekUZtdV1zQkavsAkMjbQgD
/I5Zy5AMILRj787XCZx5qPPJsZgPO4XUUnhpOpPFtPADffAhOXZuj2nEbdOJto96L5gGnvbesvma
D+AFSgd91TX6jishn06CgFc7FvFLj0wdSGrawW4/jUEOnNaSbmmtZLYYDoMrr42bfuguQcD7o9rf
W2bzXQ6NpzCfOcoixkh7g67gHF9oTXDAtB/7mIe2uhU0mzZq+IWa5rbUw21sqqGTRdGBqMQXKEKp
P+ScxvQBk0lWTpUrwDS1QSCxTXTLk5Tn6+qdnKsmC/OcEe5QKW6tp0+9Id02bXhWTnlvl9J8ZdT9
hmpii7CJ8wHrLR9UAcxAtI4Tydq1MANQzrvadAzryeoQGIEL7mt2qbZXCf5jVmTSFuf3g6th9D/M
GamXqGtnkBhpSxWMs2uauxJQXHkkHGCmmzxGEqcPKbuAxZ/4ijJuFoLlsMKHdiepG2vg3kYjNEhB
1wa4R9YTJciWwf9VWSyzqyztHWfnxQlbSn6ly67bsd/BcR7cRhFfRaIg7XCc77I41jaTspzLE0rl
NkoGEPLNNymTv8lgTZx0krZlZu2wMkh0cMcNc//LnJAd+JH60VCWwtGz4nVJqofIaCMn18sbeqeJ
yyEw3Y49BA9jdGQl8BnrQYjnEUM9rY6RJ01R/VxAQWn8xRTgqGj6BM5YnMDIAO9tyCRQRyzyojH6
kjmuM7yGKL1MQ7o7S44YIOtRlW+jaO3Ao/jDgsqLHK9quEs1ZZ00jpJI4R+vLdFJimH6yDsFmZLE
0L5bNWxm/cwE4EpKhe+mxc9U09UreRqZLQ/UY22HVHt0y5GzmZBrTMnH4Wg2NNQxZ/Pvpoz12iFe
uXXjo54YrTeF1VkYiwH+1ompwxrJgCs/wRHVtdtx7B5IHKLVYiXOkIgkV5Rnqc4rqxTpBX3IQyYI
uyVDFBCFUeQt04x8A1KCPpIjlIx0OqZeuiIjZTOV3feU2QCQXiatevUwNh5+il2kNoRlCFvoVc9T
Ij4tGrhzkJQt9sinTL0expaZd7+vSiifUBASSFeyj56M0x0wKpKRRo5sgwy2WYrocS/VsFGMpPNF
CdVFOKhPazcEysXoBgKNGnWsNr1UnM8lTacyYfo+q3ckvZlnYEbV+mYtj0JTbYJtKedYjL9YRn+2
vKyrKNvF2rlDq8uUimnST2U39FZFBfgwX4yAoW11E+yn6/Jsl8DaeS7uKy/dMeG0gwP9695NNsru
8+uv0pufF3EubxnsO0hgNOa9P1++CXptEPR+uRiM5yrYWWJnW9OTUH5Flf/VdWRRQouEd1dloPbz
dayOPSsmGuNCio/E0tlZ9t0Kd6AIfzuGkk3wf4Hk/3Y7uZ/sgdANDDwWP1+nRkCp9VIkXujaodGx
2yGpU+8/v2fqr36z91/mw0X6SBRbGSPexeC3d5g0vGErfjPpadnlGRGpoX3VeDTjfHl7ezLdzD4N
Z7F/13qBd5nsR3tLcX/sXP6PbunzH+/u888nf3DHvz1Tqiyi+NIAC5AM+fNNyIj3YhAkSheIm07B
peiJZ9J9uCcRC6mhO9v7R2kzOafaH7ea5uQHRmOXqD58zJPO20f5dy69PhN/X0hePxdkJNvPzcvz
rzIn1j/+o5ikg7/a7phMq0TTk6PzrpgU/6Mb/IwsDPIKZKWS+6MtoP2HHgKBEJzVgYSJKwPxjxa+
AvhV1kVTUSjOKDPVf9LCpyh9tzysrEVNZoUiElSGSoDp/ucnSYnQ2nCEVk9R/rS0p2l6fHdbflFF
qm8jgD8XoPUK+BFZehRyC3lUP1aRPSQ6MEhTf4IG5ckkKMwkKWRBcqU13Q/CcdwmaaAlqTiCJKHY
4ZLekqGDagN2ib5mNJTgAwuj2QqENyTIsMml/SZApWNwhsymmZx2jXtYouycySUJEMrQ1cp5mK/J
EBObdMhNpH1Y57OvlPNC20HUdlPUBj9GTTxTFJJjXApTqBlqnH2r5fUQS0qVp7YylgYxFB4S/Hyu
laqvfTRB/5eM0FFJzVgHyiXiLfPcqAzBy8zmwYK05wFOWN1l6niRYNhBDFh2vtQwvgA+STUcP6Wy
fKQfRM8wn+EPEkiRFeW2KLqFkOUagW62YXh9RqtAAZtdPAniiNdanX7kqXDe4cxCDLwsfq+abkhb
20hyGqXVTqG6SkWBrLp+31ViCWd3vpxSc58sU4ENoKFUT/e1YTwHEgMCFMrbkMl1n8bPHeY9FMnQ
dDVzi0b8XCBoUcPSGwXyY0sQkNUbBB9rR7WAP9TIw1lGz1PPFZzG9Vafa9oPqnWXxAsCyzS7aAIU
ie2CoDMWH6ta7pxZSFDAqzddJoHsXpTURv93jbAAHkI7odIx492cwRHTEk2jraxvxDpu8VtS6KqW
N1Lu81usg8gOThmGuwkziKUO92qpOMDzTnqrP7bdcp7GjBHyoLCJl9wY6nAWjc2unEfis5N7IGkh
6rdxmw3jMZKza0ATUB+T7J4OyB2awXs96P2yYQy/aEQFNk+62iFY7wBhKe1jyZeXZ9Bswrx8SxlP
zUwxmkAjLmQ6VmNiMnhAm6DOBf+oiRpLNRhw6MYTb4GfxMljGKD6n1oEeULf89jUP+Yy2ZodmHGl
esK+/SgIALAMusVpkLjDZDmilr0saXCZIp/CVRceU2JrN+igUlsVjJuIRLm66iMnjEMsFHn+Ykkc
zwRQ5p654F01p7bYx7hHXKGC1Knp14mlPvRVSxSizEQB7QNvTzJeixIUo74ybblGhqXVlLmCpF1N
ZLM4/dxnh4ED4eoDaD0rq1DWw0T1xlY/hfTVvFjT70Qd9JNVB+YLSXloSeiIou2q9J73G+dp6+Sz
wFw9iYcYSW+sH+sK2JbFrbCVtEIyIawIvKyMXBx5TAB6QfS6BcsBUbIcGEwda1/eM1xHPWlGs2x3
gNo6Wm1YOVskaJNqSwq1qyTX7RaiQ+KFcX/USX4n9qQqNhKc92BaLKpWWbJ7Nau8slsdEHmcnRsY
5ZkYCC1zH75xEFSv2jLfNYHybKTQkBXpLImk3LEkJilzJhyDFBOnlEkaYh1tYiZS5tel1gu8qkaQ
3fdpcTUOKNzQc5+rWPlZWZwmUV0E2fiXq+Jg1AYLIlwCIsZQu6HpqxhTskbtiSjZEneHYxWz4tId
s0TYRFp0Bn7yPmVMqfTifrTwPRZT+qQmUOZaJGujGegHqRMnO1Bj46UaaYYuaIIIo6rH/CaV8tEf
gBUqBmNHsq9MB0Jq6i1x3JwtZnpS5GqbcrqQaqClq0yVgyWQrVFzWfJ2MiNZUFp6s8vm4VYXqptc
zlG32H1GUE4febRbc4s1p0cjopcU4Z3A+iv8qNtIRJOLc5jLqehMdfW8VDJ8X3NqDFuC6YdNoebz
hqU/ug9qriD32U2Rg+Oh2LT2/dwk+ywJTwU1NjlkirlDlB0x9jNutJp4HBu6GEF5clvThQ0CH5Hq
jR7MN2ahLetphoN1X7a+xrDYNoBVdmSsbyoRimw518jC+UO7GbT+oYkz01/bbchKYhSGSHe6rToU
/MRj5StM4Nw5Lx/1odpBcPQnY/b6FhfcbOzTer4Vo8QbYgKTyiq67TMZpVBtHcgXG3alkDRuGWT0
tXuiXitRfMSpp7jKpNYPvV7BSCwZAKURD7qBNBYEuPIgT1Z3HcjahE2WSWzSi181eX7uJTG8JwRc
X8cV+LmhLq8WgfczATnPddruSUGkKNjMadkxIb0cm9b/vAqQf32dlbhjAAv7axFAci9iqag45Vl2
1uryLasSFMn8ieWyscfZ4geYs+0wVZi30m0rR8eIoAVTLg6sVEctaO2EwXIUoEquRU+JUAdYHWa3
4HvZ6xzEeQXUxTzp4leZM7/85Jyd8Fio5B2/TVXeqfe0vC9hk6cE80JaCecbMSHJtPwC4vWWIvJn
kcTvgH2DjuJKlOEe8aD//Du0fVrNeUp2OdmlLb0SdacQ5QHpuGbfGAbNC4ThgVTt8rKweAYtcTea
4wo0qVioFPFySXI/wpN12UeKdV2wKyF4g9IqQcDDr+5oMuGGWhmeYoRUU6Bxz2XeGz2HUzJbBEHB
/n1OO/K1Mkiry8iotZV0L8ri1Es75VVoZJ8spVU7CyJ0Bg7llDVUZxpbNlsRpU2k7+pF/h6rHOoN
ze7xv9mTkZ1B3oXWTyr4VpTG5EyMYIYtE4E8odTFHOkTAw1ueBf0Un5Tj3i7LCk8avnqxmJkv9Vp
0AMsdOoVLTgTLe9VonzOHK3AWIUBQVKyYyA+90yINGPHuvhoCvB+jVHazon6mGH094qqWOwKlZsC
k39RKT3A/acuZNjSnYR823S5hjh52jOuf06Zjb3SZtuIOrMhI4sICFoyW2lrH5Insy55usp1PTtZ
iP0lfZkOtdH+FvT3t2dc6ZfPAy+kyeNgihJqnZ+fh0AhGJb/rTtx3H5WrDZ36XJkJ12oWygC0VPY
anjPaWRJ+uSacQa6SkGcbvBFgyg1tihYzjpiW8dFPtNK80FRi8hvc632cSOQYqLhxwnjNEcNOkCL
LVWmWWzq7kiyKtxYgXqEhQjKM54UDeZjjmsV6ipKk/VE30HhKKraJ175tQFDQ/NYcwapZECVY/WU
Z2rnOXSVTnJ1ch0YWyHxb0b9ITH1HbFY33RjAsIwsgygFtSL6SawkqOBqq+GWaRrM09IZfezfK0N
w1maRNd1jMjGsDb63D2YaYpxBA6vp9cwVqN68Np+JENuTZlRElwGsItcSReeBZ4Jp7KUR0kRHqRo
INupo30UGSJ9OOQiwlR6ktpsRDHZMRr1ZKg47EaumuK8NE2MuzgmR2lo2eYR/WXdDVLTk2VOmA3n
Z2UUX2uleS4M3dNmPmdfuOmQnpfRdDQK3R/JvIsMXKBxYTiyFV+mlZDuwI55BMZ6ehagcXwjioSc
S3gZB8G6JMPiR2wIAI1m0VH7xO+6PnX0lpxThqOSBC69VTaxUvMrrSF0arg4wE8qus/RUYAen0rj
fUnMGyjyC2i6dhhBrEyFQ84uHo1AIKTscahQJRAsjJBJdSWJXTMLRli1cH6aHF2QUOMTTYUNrpDD
QrSYYZEiOkp08lqRRXeRJT+RUEKN5gW6+G1YdIdwrI+FqVH1dhnJyRXa3Dkz9mo4HqqVeq6VQK2V
CsHOiLUmqsYzoeWUkOnIvsh4pnXOaJWWDpbPkTrmlE++TsyfuiVt4r4S8VPm4pmuIavHKXZMohEA
bxAwFZUHXNSEKjpGEhSbcUDbSN2wBRjRujQYt81AFWKUSJgMYnHwc0lfbG3rm/hx5X73piof+mty
ZM2JVaWEH7PvD+1ZTurgNORMOM7T5kzixPL5Vvqh9fO2U7y/3ofpjxxFBacLVoay/C4Z34bpapUP
hw+juv38Qtq653z8ZojPUNWjLjTQ5P68Bo1tN9TwqBG0STP+2BgYbBzIN1obEiFcCjxzmN+rioyr
klbdmblqYvUEW8eSEEgw8u+iMxN+qKJ5ORWKaQ9Kf8cU+Zwsh2uCDbHIJk7Xytf0sFGVd6Gfd/ET
mIB7Icqqq7BPB0+LiNTOtf6gYUWhsPBmCe4MJd6mAD5zb8nWdQXLmU7Kvle6HYqBwxLOO42seDBZ
h4ZtmxjbQyojrqYJjZbWQUF8n1eNF2fBbqzwqmQTFh4tf17EWXOyMXysJ6sBToteHvNJ+MVd/bnf
8ttG//6mrm3Ud+UEsv4ibgJzOpnTU7S8zOYXiMmv/v0PG4coZNTIYTqfYvO6Siy7Vm6/eCw+fyr0
D89fruepmMrhfNLki5g+O7dJjObfuop/uwGud+Gvjx7EPUpSoKn6h0dvMloy1WH0n9DjYzDqxpya
5Ba/2xe/xhtx888LvbW/CENimkrzi9JU+nChOYkLVKMVKnNbemVTc28yP3AFb7Bj594u7PsduODj
yxXMs7vJe4Y/+sIb3W6/6tLLa5/tzw/y23Px7rX+iAa1htiq1hzRExg6V3REb7ruN/ll5Fue5WSN
L224zz4IBRvjpme51eCpp+L1i9/2V5/i/dO5Lj7vns4saFHcN9z3h2kne4bd+daFYZ8z54vczb3m
HHU331inyJ+2xbW2vQnccDNtWffsZVNaduvSOnMtF/H/tti055EdTfTA7xCYnJDjbLSdtSsP47a5
zf3rzz/6Ol3/yw18/9E/VNCC3MZZhXnwRBaaXfnt98qvbiS3duBLuZEbe2RB7cvNxevR63eaw4E9
2Se2tU9O8D2cwMPe9i1w7j7/VB94Z3953fUPu0Mcl0Nj6HyqaGfZkbNs801wA+wnxchs6zZJ7Q7Z
bxvzVG/lJxpp3ufXXx/fj0+VTgjiH+/Rh9WGpUaY22qeTuJSesY4HvBanoYeDMHn11lXlc+u82HV
MWNTGYaFYBlqaoTRr+K0HfWXWfFqxk1C5X9+tV//1P/9Vh87ykLO4q/VSX+KSP+bCXIIL/9/F1iV
dO9eA6RfhCWQzHNKtYOc0Ae0DPfzK3zxwxjri/juCjAmzAJq23wqq1OL6LuSH5be/OJX+eo+fVjc
Wgk998Bg9DStv8qCkn3657BeuAJ/PmDGhwesL5e2L1oUf+MwOTGJTenkLPnF5zfri6fL+LAq6UEo
zDTn2A0mHRxl4aVZd66A9ke37SSjfBqQW39+yV/+PpoFppA5C0KMD5ckHksJqrjrT2r+o0l8Il9o
8m0+v8Yvf5531/jw0mSh1QoYeaaTBiZFEC/z/IuuwlcX+LAkLhj2laSsh5PIok0zOlWyL27T2/74
2Yv/4TnGo25i3uM55mxAtnO4H7bpGUcEZ984kReeY/r9LUr3b0uDD+ypP5bU/779+vqt3706Ev0/
qZMj9qgHGsPknjhn2DXIU32WjstusC+gpPA/2JqXO5JtXgr2FZxBdvWLx/pC2XNqx4EFGsjeFk60
+erj/XIjf/dG6B+fnLjBIR7w0knn60Yu2NBg1V0hOXa6Ud37wt6L9nz4Ib5wOGtu58Noj1+sXqjJ
Pl+NP/zug9DqUY0i69S5g7u482LL2C4PmXtlnfSjsundR9kP7IKOrd9sqo3pCF+s0F99BOPDvicg
+VCLsepOwqG08aQC9fqm+ZJrHPrv05YE9KOxgWv7A6ebM23S89BNvn/+dr0dvD55NI0Pz0kKsAZ7
KI9m408+gG87Xqu6XerckLaz25EFYy+nLrfvkWe6uV9tjAtoF27vRTtMfk+/D8r//rldC+O/fJ4/
X/ePQgxTsJgNFSwptadudOy07uQv/nJEjGq/EvDmp465w9Jql8fJMW49k+qg8LpN6l/HjPRhHHpv
d+jf0f2qPfn70b2X/Y9bNpB0f6EB5Q/fje3JQoVVq6iUTz+r+UmfRn1BuS7r7BAmC/cfY3tm/bqh
MkgnToLR/Lp4/TG2X+l8Mgn0GmxU6G3iP3LeAfT96XHi5GLy7yAqElXQpIgHPuwedRhMmkBr6lxU
y7txRWkOTNAFVKu2kbTNhbCswE10bg+aWnWOpRGJ0xkCHp0c5E0rDMWeo3LPqBt5FRGL97C2DGbx
JhMKBtj+okKXyeOFgWwDBadT+9KrAwuLHGwTeFvLdb9CQ6mVIpT9xq0FTxRBWOHrC5MeA9YoWp5w
20Af7eLpPhjxsg5Jdd2UEQxXIba2khi+kpVyMyniAXTKqRQ5LWC0liDnJpI/a1JFj5BMHLKySCde
nBIqKpi2x6CT951OJHQEN1UkbsoPa52O9whKE57Mi45rYMtYkLntpM2+VU7f9VL/bphW4kJU6d0W
Tqs1KQ/EMRR78uFKmzHJszxEl9EKd+VjvlpFfp7SJqewNRxissvybsJf7KEa2qQSGG4N5jaADD8s
AUkEGLIWLf+uZ5I3rXzuMqs2KsRuoxmvRjpDWywAJGYNWkj897K4SSzoXi9M50Y0KnYMBTyGBj6s
WHBclm+igpIWK9DwBHo4w+qdondP+YoVrxUA4z2eimVFjpvifGdmdOouphYde0V+EPgP1GzWMRKq
H8uaDU1SZuK1Sa9i3wcyoi7ZtMljQIj4k6xdVc/RpZLKt6AwAK/O+PRlk7juMFUeFxG7XW5bVn/T
61l4wuRe7RcxbyyANum20kpvTMQrCQAcHVkToB0kQKx68d1KCKQVTU2rCFDJlJD+X6VXk6uVhG8K
QnkRJkGABRPLti7eGAJekjEBV9yjac70vdoX3GK8HUEy3Vda/M1Q8mMg0I0kiovNnp69bQj9s4qz
Cme18kiu2RPKWIavobGZLZVDIHGdshhe10bZulO/MO4mBbFeTJ+AMXdi8FBk6VEPjDOpJzvdnOfr
fCl+iGt+2tCbuk0jGkBKGmq0ZpNXGsoPmgyoJZqusqg7zoNwA3byqUPpxhiEVksvHBian0QluJ2K
5DCPOb9WIN+FOSb5qAlugsk4dAl3qJJD1VcqJKcpsTCFrD4GxngL75NAxZBgpklADWvE4kurWldj
wxm1anw5WGHTxnA+SuqVMvNd8iC+bFppR060Q5G+D8E89zotV0F7CefublUah4UG/Ek7j+JlqzRk
O4ox2oJ2ftB6guAJSM3tNKbNwjIHf78WMNishJpgGjDExM1D0+Z7xaK7rci7SFzu+gKa0sB00qmV
cVc1WuzwwMKVErIr4EsvlZJDakmZSCy6uZG7RPHAqZhe0JWth+0o90sLqIIKoTIhf3VXGJUztYCA
ZehS64rLKiWVXqoOFyXzGMQInej3ZNvh0cXDC2VA5BawJl0qs36W9Narpq9yG0O/lXX1TFHrhPE4
sKBhrrCkrEtcEy3Q/sVr2SpId4rwyVUtahdIX5akZdscsKKUdQxEyB0hJW2675fwWhLVFyMH9BDK
5hnx0sEmDAXBR3p/hfeugXKVSs4sGy8y4WqeVGRkBeiVNytMXfJYVlekgp8CpGm6JbhOakKe4ka6
KeIBZQpcjdcqEk56OQxMA1gj4vh+jIbzhmgusvV+LKhXvQ52KKQnEfJWXUlO3GoCSI52ye9zkGbh
2UIbzu70ofTwnh00s7mxVrJvszJ+l6V8KpfY8ip1UAjRXh6CAcavMbTE3wq1s/TNBXKnU4R/WgEi
PAETllaqsFI0+2yRvTRUCQrstEsgwme9JeCKWpnECXBiE0ixKOAualZusTYGhHAt/Y0C0jgOsJSB
OE5W1nHKtJNPszxYKwa5nu9ybbxEJXPB88BNAJicA05eNFxI3coMG0T83CtdeR17F+CWJb3di+CX
VXG6LWSsYqp2oYNnriy1wDnFW72Sm41MR1G90pwtHRNOvBKeC5HJCmusO8bVtgAC3aw0aCNvWXZ0
oh1WUrS2MqMBR1NZVcluWXnSQjruimQlTK+sabhy8g4aVOxaK4m6XJnUqdhAYwGAZocTCv+VXP1v
VfbmzFGpYP6+KruOCSkkIfyvRdn6d38UZTKh9yp6BeJYdEqiVfz7X9SPglvSwn+DagLh5Fp5/V6U
vRlzGEGusmTklG8yy9+LMhCJMBAZvwIvwOfyD+MNeM8/FmWqTA42HQNqP52Psp7M3p9Ng55JfqOX
F1MjGn4xqCPx9CoHDXXcomiiCzPP1DhAxOhfaOJBzAC6EHNppIT+iuVDjP36DN8PkClFqa+TXle3
SCfb05gG1bcKGOvGwL15jDJjNt6wcYw3BSqIXBKmixZU3nmdMPYWRB3JIcoRE3mARNhlERSAVCrr
mylEV/OUaeehJAl7OYwwbJgYPztz1h6zwWiuR1nrz7o2ghrfF2VtG70A9Vabyzum6+jvlVb+jswp
e9DErNiGWmu5+PXa5wGcEsn0ZgxmD9COkYyEaEZDdTmSnJf1JCOjUKvcgd1rOI8EKr/XElibepBI
SJsR5ZRpj0Kr64Xvamgl0QmzDuCYOmiLhjKpWsnsmDGuo8RiHMgYGmNopyzGeDJBiJEKHarRpBJv
Tc4iFPaB0tEFqp/FB10o8EzHfTa/JINc5548Wj4ytelRHzPlmSwEclmESS/8EC7ffu71+RoQ5fKs
kBlEwUGeHgNOPCyQ1q1NUA3hC09S7IjFsjwHbbR8J6j0oRFqvwjjvbCWG7mkD86oNdVWqEZUR6bU
QyNEdnRA9jAf09XnoyErmdBYlUIGUDmMmc93CvTbIafuTet7HJvZDtvqrZLW0bYS6hlsAbQDFnp0
EUmrX5uIKXad0P0ve+e1HLmxZdFfmR9IBbx5rUL5Iln0ZL8gmqaBhPcJ4OtnoRU9avW9uhOaeVWE
QqGWRBZZJs05+6zlP1Za7VyPfq0FubEM1hudXT6EmCM/cUD6b8JV4mhmHac5WJeJp4ug6QZQ00K0
I3Pldd0F6Jarb64o28NUhcUds3HtwdZm50s0624w+27yCPqaNn1iJVdUrpJX4pIl8gx3OrfpXL7O
/ShOvHmXSa1C3SRRE77g2FKPBRyjDSg4eS9wR17iIWN0i2QSPAfLornetkhZAQ3F3aYd7TaIMAG7
y8HF2RuD8emT77Ey8+iOyrzFAetFK6109M+qrOZtLbUW3Ge70AboP/6zFv8+Jcnq+Ndr8RacX/Hv
rsd81Y+VWMd/5XAJZayRWqi2FEj/ZyVmUaVjzA3YYbbeW/rKP67H7m/8Ga4aC/h3aA3f8Mf12IZZ
w+JM/Ik8OvMdfyvV7rp/roEtjT2m5n1cNy4KTCC3v9TA0hxe59iF7jXQqWPU1UNx1SljIm+QD1VV
BoXsgbAofO4Iz6PxCScqYqvSLwA+dkn8OprtfR7XUxBTQ1qrrt8xJhwwzsSAl1YYzPZmzqr0kzeW
ccmhyZabSZCkKGb7GiZvx7iZeC1VfgeB9ln1pZ7ediBg76GD7n01oqcBcEPYlHS6FNdpWHhY4Ica
2qmIXqeqiy9hGEvnEmeTe7ELj6iPBZjMXDnEUMrADnOteHBcgUiQM6Pig6OHLP6ijeVTz6VoQK2i
nlPDj+HtpuVexkkycR1qrlRiHVVv39mRNYFQLJ60OXvoLSCSZVy9Gwsg34l7JthnuW6WYLJuvsUF
8bFGWNdOb8C8H5/6WNprk8u5GEQgco5j0cKFtyqCjB4qXdynrkW2Jn4GQ+4xbpd+MSL7PvVYF5IK
ppuQH4bvPuS99alZCWSUnCfF9rpblyQwZysy8YrvvzLIOX+ZzIg7i5J7bWbUrV4mFvPMe6gz3diW
RYq/1Vyypomxj1GDFcPQBLmSBzMmc2/nsQvn053Rp6TFhjBKxiFuOpqVcRsafb6ezZjJbcvYlynz
eqig1dqfRuMwDSR7Ra99aKUfeH2L5BKCDcz1dpcX/leCNSfHd08tyJW19ICJmrN/T/B3WPtxux1D
8WH78zbTxgP+seuoAbtK/CSomtnZ08GiixxW37qSATdH4unuRf6uYn9kHL544S3dMd4wuHvi5ylQ
JPvW0vErd1553dmJ4A4fXjK/u8U9z4BnrN+FFbpkgEnxShsbew0guF3zfgP5Ur70CWiUMuqOHa9g
1/Zbu47lbrTJzDpaXW6gBx3yYboZa/tZb7trv5MPCdvxmrX1KY/iu9iKZVBpbM+RIw4coM3VEDd3
kxs+cJS5nWsySiTHqmDSVbTypcQU3ISXPpxJAYUCloJ4b2oRB5pVpbvJ5sIw636GJgJuAicI2Aoa
SSRrmo9l5d4kU0n2x7MVWdnCXOdD1sHvVWe0BR9ZJo8SXyeEQ3nlJIRHpeaeOFjqO83PCDPCPNT5
AASWnnxttEptJ7+78RvrZRCxtuajPqySKXfWcW9+y6eeyG1V3vVzte6YcJh5ZggrjvPKKkpIQunw
aKi52AuLd2e4XK/bTH5mkzFzUXFfbGXfG4yCHoYyJWPcGAdKdmR6PY/0KjxlxyJjreWWtVV1ciMj
B/teepdnwzXnLsHsrIu6Kkk3Mvcv+IwJ1GXUdlSlGPDFtb6qC+dB6QAstEb7FhrWF83M3kGaHGpl
cueKOmo7wvi0WvHUJq6/zvP8KVedsTH8/n6aOn0nnfy1nKwTeuzJHhYWXmsdXWt0bs3Eq1ygixox
7Lh+M1WBGskmhruYoXq7voIA1G3mlErXML81pvFae7659zUgU5XvXuZ+QMbcxdCpGodaCSDAlR9P
78hl2oPmdvdxQZzUq7RsP2nltOpdXMiQrr8Q/77v8s5jaAPtut6HKmh60sdJVRW4hjT60xhpGI79
HOaJs6XNLT8xhmAIS3efpoW/HgSWeKrpEA01zr5gj9+ZUKbb0yLr00JlX8vRpr7f1mQjhREHplHf
qYLL5OQh0tDnYZPKYuR1kuiUzCmQdjIFUxJXV7mrDlMefiHFRddCWJwVXSDLo8m7tWqSd8ctOEMt
znO7gJhkmRPxxaY+lJW1TbFuEPhzsq3HsWfFejjviqT+0nj2tmgEyNpwV1I+uY2FdEjESR+Fj9JW
TGL721EUBAJQo906hVFt3Vo/1JF5BkuCKiRPvB01S5RfINjXIZeIY9z3Hymmqy0YI/NoVOZi88bJ
kI5RsY+LYn6cVc5royaxtRfGFfAy1lUDtJbdDQczh2ep6x45d3s4RZl/DP35JOScL4LtZhum822T
E++I3XtPwH6aW6pucY+ChFrMhXmTh8JgfnsZlNpWJnfiPhYNYb7undgsSCRaZLvRgwMw6QQXMTzB
scriSyfBFoSzFqSlHHZVNZ/AoJ5xhAWgHC8DpJGNmXCKNagXr6TbXPt28u5hjcnakIuT61MydATa
e2EjZPImEG8R07szRDFNU096n34tU3HJGnmP1LxcawyrYt3WHehe1WcGZTLKNWvbmRaMVGnxLQFu
BypjSElSCRt6eR36PRg6XRsCVTfhugzTU0H6cJ+MSfRUxxler/CVSRTKSHx03YwGcd692qZAWtld
V9+Hyrv8PbQNf6P7THj7efYE3gpkgmQazRDidtYqLRCZvNIhu8CgT08ZVJq1xZ5qi4EFTNc/R6/d
u3149sIp32lyOgIH9YM6FStcss/51FyPhcHdccpzBGTWmhf0WLf6yc7yD1F539RIKc+hml3UYh+2
yScMhW0Lw23XutWmrfivqhRPWqKd5+iUkz9tehfBR/rV75O3uGXxHYD+JI17gDG/vGu8aN06zXFu
FVW0lJcnp2qaUIYfZ97PRAMpURrWp4l3dMXd/V4mEf8zC/iQA09uMhB2KCHXqIvkjpPbF05gBzmW
wNEoWpmdA6GrZKCkkjdOTfPLV8+6yTevxhJQEOZ2Ogg7M+/euR0+R24IWBTZhubmCEeKJ91kw/OL
aGczoxNMnnnNgP5joxSlwRZlpajqSyX980QVNTAR4UABVHRKbB24Qr7jdkKN0Eg25M1zstRMQYGr
iWCC8dEpZjgJZkN5eKj51TySwjHnzpWXSUA85nJ6aA6uGR/VlHxj6EluI+XdTHqyK+dd62Pl83bN
VAT6ePZE+hBnA+QMy8rXVDN2STJg4nM5yJjzm+mpraOiN8+RZ8vAsS1CLebFqr8iiwMgbqjEZiMe
mhMfn4doosVBLe1Jr1zmsoAJtc3G25tRtjdA+g9dGoSeWd0WDlRAbqvSwZBi2bpgDK4stTWOvrY5
gk5QOT0IRRSc2/MgJi5Z9pdCs6UIrJAh/IhLtgw8Pz2W+PJWY8qFlfrfbvbJlTSl2Ao3AVacCrWV
VhlYDDIE4VC+EA6eN4U31JQ9In2TGcmj2RT3ynLGbWsCVU+aZwaVyN5z8BIhFQLfhsvmWl+rYryM
0oex6kLmjWWH2NzlE0LyG6SSGvSVoEjNdrLMyWlsbC1bGq/f8tpxNu99ILl+fK4bZiiyygrGzr0e
OnnDFON5wWMRnU++6v4UtL511ueJ001ZvbG3IHLIsnVaeI+tlNax67XPOWROaE40xh4Gj2Gg/oKU
KuaQB42Wq8SKc40KnLD4aFS+N51YrPEZcDFtnbNVZ3cGMdaic4e1nZdqz7p79plndSebzQ5NwL4f
+EQnBg9oN0yaW9mCnoR+0c7OCp3CrjI47fp6+iWt5dqKb1Lm/hIS8mo0YWy2KOM8Bj3gF9Eu6m5y
O/lAScHkuY6Fa5LXZaRd2yhiAVheW8aNQ9tEzHXQNIKshlY+pyo6dLF87dzusfJLaAtkd71mNzru
Esxdc+69nmrji6z0PXkVVsY8OsyTOx+SPvvCD/gYL2VWylHhJu4qwFC5+GKRnXrO54FBqDo5jXFa
Bu2QlICY5is1TFiQHP2lGjTwD+mtUsXXtPIwe7VM903+a2aXZ2nGz7miH/XPhf734ir337++0P8+
rb5u+vnflFf5yh+XesqrtJV1mLLw4ahkEmH4n0u98Rt9Zqo3f5iw/7jUoyf7nssBRPB75fXHpd75
jSavbbAYcoAnBP63et4MjfxaXqVzDu92gSgBfuBH+XN51Q+p80X0qW6KEeuYTi2IUeQMTPRYPEtI
/NzuGq6eJFjXWepmtGS7Q23r34ZSY2HIc3VUGXeXPOa42Wn9PsL7xOwA47sNe1ZZMG+xCEMSN3lT
IZgWfWAeeSiA+2TdUGxcOjOkGSf/wjD5o914dIHU0khI5zNZvsco6jhxyOcwMR/yXBY3qCkFPVed
rpx0kaDAdznmGTOOVsRYle/feimDCWNvfOqi6beRIdRDUft7bD6npILPrY0oWtvxrtbVzVhWlANF
fT3g7ohQINhaC6LFHs85VduY5YMRuhLXBVfdqDPBOvsQVqP2fZK0FcsoGlBtTM3alLSyZH1vsSpQ
MLVXvtXARGvkYcjcL7qOTUyNikxdzb41E0wZucT0Y76PS6kHI4MmSD5I+TI0FrLK7Ekh8NT0cjhl
csbebUfXfiWPvpficsiyzdyJjyTJ/JWsmRLnvrpTM+jSOmTCVwyM8uDj4vg4m9s+8y4I6Bi26nTG
PJOKaRLzLqncu7L9MLzym8u36yeeMlkv24Lefo172EZtuHS13Q7DJ5uxWdGcMR1jxV6Wg5SxQOxO
7aIJvKMPXl7qXL+qx2TcaMyUMbZMtZash7GbDePBYlgN0R/3fWE/VsXkH+sh2acuk2pOHV5rbcWY
UZhuMVKc2rK7qLAMOhiimSq25UiygM3/2bdai8Fcw1+HbR7TO6q3s3Svpnp6Mcp8axXDF47l1SE3
h7uhpV2oz+qTRx43o5lhi631G2C9OD30CYCAZ67CNL7yexGeB7N542JNLrvRjYOM0KrFInc3Nc51
ezMV9Oa0melXDpUNx4rraBDusYrK9hYFK+RAF/W6zxNUc1Z1vA+v8tRxsM0V6oFtUwGHh3802aYK
zLB59aEf4XHHn5pWPASzVVWf7htF5rK3eYo97Ecij+dHsyo52hmTgrrIbaF2Tp0+fS6I+EBP7bsM
pvrJ4c4158O1wV6p+zQEGITAm9rGH8lc+YeudD/G5aJlejN0xsFvKbC1t8xm8xQ3VyHw34AoRXUs
3WaN3EYswpNNVEKDBtHVr/AG8RUjJGTi/BPTSeG3rKJC0kw9x5FOuxnivlw7PUj5cM5OtVFom5kB
P7jnjMWz3XKcPKrEaAOOsa8JFymuGV13ji0BIUI19ic2oPShpH4BOcDD78ZlBvbDP7vT7+Vmqq9/
vTvtss+i+NeNaUGd/7QxsexDSGFKln7dkrj6aWOi2Wfxl27bBmmtP6rN/m+UW4D0/0hj8Z9+bExQ
1T2D78Xf2JaWRt3fwKDr3zOnf2T72OKYbP6+Nxmex5jwr32/YmpdY+w9/8bIG/gGtj5XIE0XbYMp
ithgjilvwy+kG5pbkKhIHvLF9zAzueUk/rkp/JTLTPqWEkmYFji2wTTUZFn0oCszGxfFxXwoRoAA
/eDfUkT9hmpHrsFOc1kzdgIPTtRKKmn1TsOP4+HJGSuxFzJ7g49iMhtXnqNE3aaLWsfpGjoszt7V
jL1GMXZlwihAzyTonDOiofvXBvdzuQh7wGpkW4bO95M+IMMR+luC3WesB/vQeO5LZbmHuVHvnNav
kG5kTCnzu736DE12iy6IeNBnM3lBuoiEEkitnNWRC83EKOB+FWtj0Pc1/qFhERGpRUmUmqLZVIum
SDM9fluws0Fbzs/Us6+8GbGRWhRHzSI7MihYxxYqMbOPts0iRNKbyN0kOJI8XEmk2YagtthjdDxK
OT4lCLLUpMqbcREtiTy0t/kiX0I2d1CLjsmXuH10EGqBBj+d4wLaJiAaJvOQeb7GsgcjbbrN7fTQ
RkxPokb4mPLBW2mLCKopQ2JYjEOZ0fQVbQv4dV3/1hniqGORgrBzBnKD5moRTA3fVVOLdKpc9FMT
ZG5ub90ZbspnLgr1wut5gqM/586VJds1HkqMRskR5/a9WhRXDfaXlsFNv47Pwih6LllAB6JVlYHO
wBbZpX5N5p956Kz1LO4jQ7yTnseBBiOMf2Vgkji6aTnsUKGXB56XSttYGub0OPT8+xC5EyNHkw4z
pi4pVg/2ZO0I+lhZkPVjtNOnMibhVzTGmQ25f/ZKx9tjsdde/lkOvy+HNrGBv14OH3pQr3nx+a8r
4vJ1P1ZEqFK0kUh+OgYDcsavVCloJGBIjQU791MSwvR+s0wTFKluOD7/i8EB+seK6P7GkJBBBhKv
9PdMxN9ZEZ1fjuqc+jUYcI7p6KyyLM7LVeJPSYjBbnIgc/kN8Z6jCULdGsgIjkDVZ2CK24HVHvpy
dmUt5HWw2nuNCr7kBhv34lBkSeCDai90ehqg2yGFfk1BuTOext28uxpn/Rz51n6OnWaVLvT32I1e
W3DwDAWnGwdAPM1GMnHfmfELPX4mOXnKF6J8lgJY8BbKfAluvqcwB3c+v8A5paa8tM5nV6wbIPWU
Gbcm0Pp4LG9494O69pMXhsFp+wG49+y6D4w+Reu+0O97p0RXAA/fHmNcjQsjXy60fHtCc9kBJgCj
b07j52TNV2T63pi0e1DTgLM4i3YlAH4H3+SqBMnPpPQxWxj9fmw/mqBm5rL7omJn2w4N0EtdEH70
vQuQSgRP5U0C+B/q4rZi+JtzGQfrxM04njTi2V98AeWM3RCBQNxQgZ1RCpiLW6BY0sA5xdtt7GAe
AJz8ZaSQZqMksHp6TFV9SxVvm6MsmFz9BnbItjfHO7YBumwJ/U4kB6YOdzoTL0jjnknebOFvkx0c
8CKYWf4mESVUizEhX9wJ+phcT4tNoUaroI3hSE8S00JtHTiao16gtkgGd/ExRIgZwsXQgHhZrad+
uI+ROfLPcisXn0OH2KHnxwhrDIDp4nywFC0KSV2q8YBSaNOpHngdkoSoc7I4I8rFHjGhkZAes4cq
/LBqeBVyEU2Uzp3gSLEWnXP2FxdFb0POiCu2YNnEdwJhhZ101pnMKjTQOnlAZ/juaTIowvyWW+QH
aMqnyGenhPCGEYNfal8tbgxfhFQwyzFau4gzzMWggekJvKtk1Ev2pCnyvT2nO81iXsZAcgm7aGLc
uP/0bMzalrP0fJB1lEg7fL3KzrHNs10vRg8OvWpVjHoLkoIVHbytDi1honmg+9UVF7zHGj1IWPXg
0jUkJ6UUjD6MnhcA88HWiFhEK8fsrDN1Ror4RaIe4XhzVywuEnexkggdP0m+mEqKxVniTwXvTDQm
FToTD62JadMJn+z5WuvDj3AQemCiQPEr765HiaIIEOIsCw9uiozL5k2/onqwHReTSqOzVcINJgCr
qL4mi3FFzNPXCAzs2l5sLBnP6KpD0NLRV9YQtugTbQt9cbggqd7J2cg3sGNxHeiL6GXA+CIgpHcD
BphxeEgzPehH7wJgjY7kIotRBj1gE38M2Zti1YHsiuduG0+DAxOrVqtKp4kGIpO2sWDnDvPpaLWo
DasKB5sHA98Q1qcxtleZJq5GrSs20puKjTbNX4lX7unU2+vSWcqrLpAEcisulLeyXxha9zSTSuLy
tOFCI/Khyzr8PAORUtXzDuTffzMyunyTvRDnKIRSUBZ3NSXHNuctYTm55L7jPlZNfd1m4McN3fqs
Ku3GpdDaJqOzIvNswXuleOzodIK0uTmHurYbEVgEOc/4qS74pdOCdxNh/Vcrz8ptKViDI+nRRhsa
qqNTtA8pyCLMmr7Wjix3PkujlcptbfZiHcfWFcx0RBm4Qm2Xa9gkzXuV5IoSBHfpVtsljfVQAUsD
WHOvRyjOSwQ4JHTcr1FUHSsnPhr8cgQxqaDaWv8onFlfh4msNxl4q1Vj86ZO2/B1cObXpqvv6FDi
Z8/Enns8JHcWuJXV9fcVenqsLLy+sFECbzm0Km5thHabN/JFLBUVvk3/hoVuF9VxDp6sfZhC9ZQa
3XNTeyZIi/7Z8vHe6YbSA00z4tPMgGQgvdimBwo1pozIWGW6eWja5L5wTHy2IGLCVH9V6UijLku2
dgYXl1L4UmdgqKoxngbnVrXHOXxR8mTF5i0tvxWXmadE5I/SzHlpim7nFOW1gQ0KGZrecux2PnUW
euDC/mWQzC7Ulgj3wp44Vzmz3GQgoFYSOkfpq3NbZTAejL07Ziy/ctrMk35PW/QUQzOkC9w/u4v4
Xqu7Y91dDw6ZYLsnFeBGF2uCoZWVvtwZdUOHsJHPyAJ3WdYk50Kw/M+iufInV2yHqSdn0I0JnXkT
5W1F/p2QyUZV0dH2PUHrB3Mbh+kIVNPUmwbW3/KTsEh8pQo0CwCCc9t9Tspc7RpgihI220yCN6b3
ElP8pfbAUTLyuo2UNNVYv45hN/s3OqW3G20WKDbbzjoMbnydNbHnQfSZpt08jgbrMVcBNo+EzB6Q
CFu/Mir7wGp0dELeOp7FjQDWTSDgLD9Jt2KFGDig0xXfx7V1bVktgzCx9mlOODun6I0tZ+EVjfSl
RZB7bmCkGr86P2Nr6mWQjtn7CDZ5hSB6Z2gJlLkQl3EROS/QH4fdhAdjo+oY9j88HMOYt84g8Nq5
ziniya7eEMrpVniXhu5eCKZTZePemBWiHtnnwKkz7ZGnn11czz6rMTkORuRuq3okye/sEm+xU5Cf
2xajlq4nEgwBc+0LVVq9FIhYEZ7e2wR3nMx+zP36MtVJt3Lm9EBXZQu+7DLwOUHnPm71rnpwS+ud
xfXS+aqAOc5bQNL6oti4ZYHTd8oikurr7TV3VLmYY/eF0xkrP8lvXJ+LbMoAx0b66bRpxo73g4oW
NyQ94MZpN/mYcT11oPPJ0vg6tzQjM8DbAG9YnD3nmkPuS9NUZyBQ7rrMxQY88BpmzCtby3ZQxl1T
Dyc+uXssZRqF1PixmlsgyDK7UjpbbUrTMOxOqCGf7Up/UWHKHlG4z60xgjynTqckQdBEMCXk29ET
moVirYvsMGMKtJqrMYq2EIbSoJfebWwjfwAm+thXw9UM2ptm2Ftm2ccadDkv+3QeRq/fT83UbYrR
ucp1D2B4zkIo4h2NMCdAXYQ/zzgrbT712ErWkQ1/0pmd50Tl+cUMtTmIOg/GiGqMYIipbg29j63b
MkwySAVTVeA1ITI2+9ZC5tRoyZvLJNDaG/uLWwH18RF57ZgJbs95DRuP6YpTtsi2SupsKSmanZ8r
CNFG2PHhsjNQeg8k+Y+Eh/OdE5cHn9PWQnM0ExpHA1H4f6pTv2v6dIZT//o6tu9znNwf3b9ex5av
+3EdM4DyEnc0HZOZweVm9VOBysI0a9NUsTVzkcCSlPwRTCfNTkLRXkbMEf/8fB0jmK5xS7Mg/P4I
Uf6NAtWvfROLgwoXO0+HHgTr91cEedfjVXZLW13ARkaIfiYK6rufnpTL77Wun20Rv2sn/qiB8VtQ
JafL4zvw6xzw3L+MgrOomEmSttXFVMgZWkiyLTj22DQK8xJrfNgD5AFjejuX0vGu4zh2XyjYGNji
NJsLnJaPBhaYat2O5aEGoYWOa+OYEjylTnpoNtfTlF1CW7CficPU+gijy/tOY+OZYn0z1+7dKNt9
ONUYcsBHFRL6mG3VRwLYN8JL37Ip/SpQuvdVdUBt/UIzgN6/jG+irt14RnZwYyLl+th8Iwixq+A/
BhkFpJ2srX4tAMOzrap9PdB56MlCu96+Nts1v95L5GgHzYc7aurVsR6Lz6z1YyaoLKbp8s8QEi8X
zqpblRqoobptthhRz3yMVeAVyxQNqxTzS9rbAmo1LVDDulU8DHp0DA3jsRkpthiye04x+63jSb23
jnWcrKbY1kl1VcSjArnqmoEtQ3sdls19IzlDu1bZbaLJvMoj5ju71rzNFFbYeehfRGLi5qHdQDkV
AbzRfUvcmqiWNDDhUXEvSuvkqsbaVBbtryytk72jgdojaBStx6TnCFwZHMoHj5NZNT/reUnUkpRl
2Ys7W3HizI3sQeU+C7OXvoqaY6ahqoPPxnmddUpfMzt4bAXnZU2v6f940Tnq3kEVbP2ee3OujLU1
1sQ5suI5nAdq/LVHOi3Sj43XN0E3uDvAtu8QqRien5gycK13b2m1eIn85uVsDZHlzUHd+Q8Mhn6z
pFrDEv6UNXc0vQU/ZjQxYQxvXUb5ZTDaNz1JtHWz8ErxiBxgHhIfHLqt9JapUhM9gNV2akMvALxp
0V+Yhnocoh63fNYhWo2bJeh6H41dHZQAUNZFyMybBatsoCA5L8Uy30vuDRSwzJFxhPOH55RgPR4C
51vC1dvWUyD23FS2JmY5yJ9xelXkhOSjRFZr1pXHaKrvC8uujnFq3kSZ6wZxGSverOOXIckWlF7d
bzzadivXnV9TJ0RuQTl1SIpPS1fOdmi0xzTKCDUUxmoUaImGqCPsJr51wnsV3sQgVBqvISsQYR5D
JvToFTqlsenMKT1UxqJF4LAAlbbi2fDxq9QPdqSADTo08Co/Sx9TzfQP9jwmF8dUD3VtUBKsPnOm
gmVaZausrD70jjkDxhoj5sqI3qUKy3Qjk2cMk0HmhBlnzKfC34y7iTv/OS8Jtwhx1/SJvxR+YUMH
IV5MJki8k3BH9lC/KtdtBi6a/Nc6MiuUE+YV17ec0jh0AZfjNp9NjFpAVkr3JfbsT6mNNZ1BciMW
x98crN8QUxTxrK8wC06qo0Fr969RbyXLmnPXFPomqfS7kkuB0sXdNLmBI6InIwU27dl0qbSTrzho
u95l4iw8t92Wgsc69KcPkh0gb90kSAGUb5DPr9MauVrbdMwG2jTchmsX5W9TU3kymQkmUq2IlJPp
SThHhELcTF3zlHP+2oRG+9l28daox2fRfto978TBcaksJG6+DnEMM6QbKnoKST8JsdGGyX1yIyY8
6rox1knEMdr2qq66Tk3zJS8tcT/O9cYdiggXWMK6tUpLq5o4w8/mrpvKZu1xB2H6OX9KQZA2nXpR
Kntqa/HK9K95q/X2fGHDq7dNVn+tDf0QN+bHGHo3y6nfz/woKHIib7TG9UDWA4iJJJPbfM79Byv3
pqsoj+9lFL0RTRZrlUKXbkiVUPvvsGEUhFKtLn4tDF5FFT+AUaIgaIpjP7QvvV7OZBK5WYWL4YRJ
GViAkr1n7aesAb3InKDtq/lGcBx7cBLyndPkq03UlGRuGqt9Dv2WtmDnUoMpei+os46KyzDsB71T
XNWbcm3m5bRThRZTfEeDHnXEe8nr2XvFPM6e1sIFr9tda3Fxc/RdMiz9AhG+y5Jiw+zoD3Q+Xhp9
vI/sxjlgH3rhHofGNprD6/+87XJ4+BkqsWy6zK55y45LysJeemY/l1kdapuGZ9T9pfQU2TVGex4c
fmru2StAev/5sf58ilg2eBpvjk6x1qQPR+n5z4/VcqnoDNWqixduwvSpJj4gnv5/D7H8CD/NzzGI
lGWqz9Sl4oPJXNYqplde3f8fHoQyNy4GJqqNpQj+84O0MRq+pFDqYjYPNbANcS2Gw39+iH99WXiq
fnqIX7BIi800gtevLpZ3n9P+z7sNp5DC/ZpM/8sj0fn85Q3w50dafpKfnjHKQnbudPwyNbUAvSDX
bhz7nJTVZsiPM9yV//yLLT/4nw95uofbzLZMDc8l4z9/frguSsDud7qiIfWiU9V0qbvFpyn/p/Xz
+11jacb89V2DnNZ/nXvZ/tfNm2yrfzOBtXz5jysHHSCkHdBE/GUNoO3805UD35xFPkrTfF6m782h
H2Et+zfX52t4EWkDkdb6qSdu/cbsKl+GxMf/jjz5Ox2gZTH4441CR5yWj8ffLIPvp9vGL/2fxjDt
1nTciNNKRCLrJK3/DYTK3O+fHmNJnHl08U2iKpiAwKH88mbMwQ74VQbdLkrdQxH3pOgNEmBbNx+v
RnN0VODSmd/NC/4CXn1DXaLzmNggpkgFsfOdK7dxfcQBUVhf9Y3w6nXekw2+ImKujRur7YEYa5Xu
zhty+tSElQYgP87zDaNQlFnHet41ZWRsFBTLXRNb9QbnCAonp9KYQnIuiUsguUpzLejxh+2kiDJj
2Yeg+Re5msv7opnjb4jyBgLnMgQR4LWawK4wWQbbWcafNnpl5agurVwz76FvMERR1WN92438FLIG
IISjgeHV+MWs9FM8xpReCYmtUh+v1FDvBrL7qnf0lduJa8Zxn+zUfEAhdt8QWouK4cmhOEGFvmZc
X1okZonVWPU5jpODHkXpQW+QN0Sjc6JctfK0HPZDVJJHpxyqhXI1IytobNLzTJets8xlDJcOP2qH
ZO8X8bkf4Vw56XSKK7xyVkhVxMv0zzgrMyDm/mYqnWTV+UztM0qBWWUc7V1hhvOpnqrTQM1jzNN9
J2S0yzO7CaSJKG6uNrWSVwCNzU0I7oHxp2o3z80hbORdbNfZLilsStywlpt58YsDyCjaEWFTjJ+h
6U6xyTlZTJrzPg3UlKYGsLH23+yd2W4cSbedX8U49ynkHJmAjwFXZc0sFkdR5E2Cosic5zmf3l9Q
rRZFdast+Biwgb75+2ezizVlZMTee61v6fZ6LLlUkeitOI8GDFZyL+v93VhWxwFo60KLEeIm+Fa4
K9IrDGJLNuIYW41mt21yMgJy39UJ0AZEoE7tsaItuAzcetcn47QpUvWZiNovGhrCTZ3aGYO4TJ4P
Eyu6LDEYUJBI/b8GkxvmkLJ3k1jbNI76lCjhbraVczIYbttQ2aShb2PkqdmD0eUZQM8y57LP87Ub
615c+yuguxjuBmLtUh2LY6t7lcEHT+9s26j9nTaDZigBrQvXfZjt/lioaCIjQuusVL2Y+aO9lh/J
ZcS1rm26UnnUG+1ZUcZdYc5nBpmkrviInqJw5j2Z1c7aioNVLSzmTqDVyL/tGfhxwG8PCMGJuZku
Ap9K2+DIjJINeW+g3xsEFHv1oJ0BcgjokZ0wOBNCxOxt7miXzdWaiPMbMgJuTeTTY5DAjQk5Zfel
vsALwTm1jw441HZ0JJB59trHUglvHCe7VUoY5fmwFkH5ootxX7nKfhxJ2Gtie1/F7iblzARFpSGR
Uut2Zme2V+YQ73l/EjL8wNCD5rCRRgyDaw7cqAnPM3NMtoDidQydyF4a4nHpw06TT5g6lPTRF0Rl
jKB/yJBD0xi1oVd9TTJpg2VICu2i0hGyDDLxpC+t6LwzZwzp6WskSlfacoW9RqVUMjXFkfkpsFMC
vHv2R6XR7VXf2Od+SCiuL3NXWtNtuJjB2NO0Tw8MtqC86NZVq6og7mV2S9DjX9CIc+kLTAsy3yUe
qKbgfgfrhPAXmwwYvnmv6mibC9l2cIzUPvrIXVbjTLc5sYvPZkAj1wYOxJJz+Y6sG7RFhPrEU7IJ
iKFBCjQTZEgwTVt87giqiQmscWKidn0ibHybb5lIG3gIlMAxKR/tCwq+U2rN8Tqgwl0YQ3qvxx0T
aPFQoKhjGAn8SKN94w+oktomdxax9JYTrzORjRkzu4sr/QvHnXFTEsQT5/09xKSNJfnnc9Q9MEBY
lzVfczIAyxF3GpE+VpffWTLjB/bl9ZhOZznhP22lscCH+C4Ip11EPFA/jsceuEIgc4PAD121BAlZ
BAqNBAsVuGscgoYGGr7aUJBmPPfr3gTGMxJKxLexyrG3zjKtyCW2iLh2hA4yyYgidxfIbKNQphzF
JO9oMveokQlIQS5uqj7at3Cdlk2kkiEaHiqZmqRE+UUkc5SKOLizZLKSodZbi6gl2fdXuvFoyAwm
bK1nDpbFmnAmZpj3btmjbSyWpZMAdHG2CWGpjUx1ynT6Xg4sBPyzXcrwuOr8R5UgKD5rL5LJUGC0
4S1Nl43MjIrNZh8TIlVb9oNPqBTpzMzf+mvfFJ7jWPO6kflTWRReqARS+TKZaiKiChMv1hhCq1zC
qypCrLC4zl5CrFUf4OV1ZNIVhYUXE31F0f9g+8yh6RgyQCEdK89UbVGY5nBBEQIZXKZoJU79iQqM
lCLVOamyfhryqjo0Mn2rlTlc6MSfECBkXiUzuobS5nqRuV2TWvoLQ2Z5jQyiPN2QAV/DpB9hSvsv
b85nF18PNG/bnu9qIo4gX2M7OIUY9Fft903PxCKfNfeV8zi+tZOPifvZtDb/Z0/xruyauIrtpOMp
VIaTtjh15Ykmy6+f492x/o+3gZ+fs6FhW8a7t6Hr3ZQNbhScVABjjjgROTSON4hPfv00shr9fiiU
BzbXRLmvM/MAkEcY3o/VQ1DEkyGSHixoNq8qLGeNzjqsbjvzQnp67KZmGP5v0vUfYwuOw39fSuyy
8rmOHtO/GFvwuD9rCGYTSFNA33zVznJtfdPVavYHTUVgRl+BICLN5FHfaghmHYbBrB/cjmTm2HzN
31Rk+ge4IEAXCBZCdvubFAeoED9cMBZsCaQnOgUMDQ45wXh37YuwqvMR8AnH+bLU1ho6cHEsBXHR
LyrBeBZd21Zt2doMXODzlrC4ZMjpvMc0Q2wTGYzUmztgtLa11otpwWX5FKgYyQrXfySb+jrxk+xi
SmC7VLONUsdiY2Am0xwL235h8EzzjpQrCusmWmO5NVaiiepVaw9igavROpvxR+2UPG2ZHOBNnpYj
WR3LGPbJealq2OSxHOKXTw7M43KvKYdpXVs0xtuKc15K7vOSmGkIANAqzs1+2nMaPHOK1j+QSJas
E8Vlp0A27NCmt1MUW+AMR1fgaG7p6FW0izkwitKrRpprlUMAiWoq9ymNoNIe870IuxvNJn3Lz/Dl
4f8rOZBOynkd209DTs+wKoS2Kaz4ZY7jB0x+YNHMXsvIaBH+WWnG0y3eVh8zeghj10ArGsbPbTDr
93TQ8f1Dolj3dlp5okkZIKML5TTu5u4BPpy2sgdV2ZvlqJ5ZhPZtolAnrbTu7LNaiEuHkMFr2sq7
IZxulNLKuf3n5kZ1ikthY1ImNjtfOqpp0+lmIDQnyJxMdUB9PCXKmRZ20s1QhxZhJgGABdVIDq3P
aJ4tXEHLsZjr2q5PId9dr8PcOE4E21AnBZoPICDmL7lLsEHtqXRc3BA6mlgkBe2k3yhkj0U7vU/m
fd3n7imCI1cho3MwQrp8CP7JxROJJzFxX3rNTc508BBEsczXZk/L7+sd819Gq+Qm//3d61h8KZ5+
vnXJB/1563JBdyHfBwRGqjIz1++3Lmxs6PGJ7NJNNjP9jSXA1HgQNyfx1akmuN/8cefiN5oj+5rQ
vlWpp9V+q/vxY2tCGgJMEDjcN+kvqqxP5sFv23JVUZmtE8bhRdXFHMY4keJxssRJ06MQVWag+Mq8
gjwxIGClV626XhMJ0yeHdGyJeVczrb0eCC50XwZ84DUuY/+RRkJMrgoLVznwpht/r4XxpK0CBPXU
RkmOGAdORohHSSOlqkPvac0pXIrG9QmvF7lgftdPGFuWXctpZsIv1mEWQ5lO+SVeiVppbDEEG0Vt
baugRuqUM8GhChjS+gQQsKsWnYHIbRVAK7MRyNmeOrcQu6zIbb+ee/699LVfXvqH5/ovzDDyMX9e
+Ui1aSiR4yIQdwKnf3Plq6jCscnITF/E14LL7tumLRt/UgCgqQ5dfCE1AN82bfMDsm9owqwKm1Yd
6+U3tAY/M/BcZhGaXJu2CnzpPfpbaGWgaogsz0VDXZzAEIVaGuqpJyrT3YjeeWz8YFhXpRWi7pxj
U9lnjdOB+hCRHt9HOkiQU+gXXbXD/VBmjLRium+lYnXiomSsOlxAFj8vjSS6wcMPFjKEAgeYcm7Y
VcL4waDGvJzyidYbSWCsD2oHUkfzIo083ZzDdQvCOEDRQ57dzvSVDESp1oq0uadQiBm/jfAvwQEY
nd1EzVrHbKrtMY/Srwtmdh8UAX7MaFS29FwjwCsj23xj39peLdt/CFIrBGK+tukTW1sNsk2IlLX+
OONC00jYnOx5Zbw2FyfdnUfgeLLpWAp5T8jNUoGfUs72sZuasPBKvbCvUSvTvYTgQSNTtjS1Mkza
a3j+gHhtJPSnUbdDfVMJfp6Cpvg0D6aLYh1IKRLgMSzEDliSoa5eb8r/LlGNNfX3u9MhyoPm591J
PujPNSqb8ybtdSLZ9J/WKDlDeCNMYeMUYwv6tkTtDyZr0xFEcjp/7FvfliirV65agdnDEpzKf8uv
9pom+b0OY3dyOb+DbnM5P9nA27i5vN2dNN9oJ0yd1nk4K0Z9CyQszcARTJnmhaHSIUTGZhUdGycx
PpWIdrCVDemlqhhLxgopMtyIynrZCpVO5OTYTbXLipqgAdHDX+6shgVF62E/GCn4jSIt5uSyyJK7
csjACoYP40AetDCM88nOK8/MYafhfkWxWoWfC4GDSZeENcqPcIFEczkCX0NdkyzpZEzeAJgt1PxP
5SuqrVBjKDTpK8ItSdHXZpLrhvmEvdUL+av2ssAxnB9NZbK3E0ToiNRiukPpsELMHS38vC8/E475
EPSxvWztzF9qZU6TA9FIkcXbKla2CMXbxVjnn1Wjjjcp7GNSJBH3BsqTfsQlfCxMeNIGRgI3nZn9
p/6NVjmXGQmF7tRv4vlSa+3boW/u6OqtTHhB7tfAyH8Xogwc+fuFePaYPP/FOuQx39ahDrYAqRrW
UYcjoTzV/VngItlj72RBGZz5qAbfFLiuxCDoqtAFv1Rf1+i3heh8wHxPYUoPnpXDAO139kqsV+8K
XBazJYG1TLBUpnUSaPt2JVLacVeucuuU9GlwUIKs8q9HXFJEQelRgkDXJPVUgPGuEJvASE53Zo2K
SaZMbxMf4VU26Ux7B5VCMQYhux47pOCmwK5kQN1xLFRpQxzhkiIxXXFj6yhmv2KHw6+TATZH2bB2
Z+fZintUFBPGDp8hDXZHPNv5OBziPF0rTg/6lFbtVds3VEaj/ZCObk4nOCSXHcpNqhbbGfXNoAdX
lZZ3nmpPs9foSIXyrN62s3buNu4zxMPLyHBOc+XsEDNcA83bgBv9pAROecjpB1ahu2OKFu00d/iU
0jsHVnud6dYtdoVxQX+AoOfEKK+1JriH67QznHIVqz7ThPSR3FsNQEuFk6Lthw0YRF6zSe/UQHaF
DFkQAukeKgP9VVLr2EPT8wogDQSg4Fhl5mMdtqcW+nvLBw2Rq1jOxTAQLlXuM5GIZVa0W2TwHr4P
BNM6btE5B+UP0UaUBgYYMeEAUD45dXg5DaZP1z/edUEOHUY0M3cBboOOBKdpPgTKodjqQ3WfcEJJ
CiBVllHP62BKGW6V4VOTkYM6lVApcm3akJSwT2kBbDJHP89LDOxDmxJnVtcfSz80V0b9Aq5W3dqJ
7a6obekXWLbHufFFGTFW0JI7VfLYTsh3voQtcOPUDtRGN92SbnCZBs3W7fGV4c5bxm0pllaQE4+r
BtPDlM97JzC/CAa5MojcJdVgvjfrcg858oGRymWFvoaa934oGXvUbfgiMhNw35BAHW8Ym4hpm9At
Br2lkdPUDc+jQ+uYeSXlcxmsY717mkJ8QPRW16JPniaOlQXliGTdY/b63KNEOBsti3I+k8bTFtVp
6g3Sjsr7h6I4SY+qb0X4VXuM13ARHAFPMeNu4Km6QEtW+Tw4kZ/4jEd2gaCcnnQbrRFLRxPjKEYn
ED8ZPvXqaWYxXE5OLDY4lwCVmw19/EHfG0ZsLIFOMVvhMXNUKrBtA2MhRrVY4RvA62tV9PUTbcJH
a0TjDmGdtSCZPNo7zjhz5rWGFfCvFqUqfES179cDhDBIuSegbuiCdO1odBWAY5AgWMkDr0nj88pm
EKNrd2Btp2t8f8l9rskeewXE3KDRoPl1uXJaLsjaNhI4S8TwmWQrjDlJyYbGmkUAwHWjuwpzcCZg
2kC+NDBC5mlk9QllOiY6JDwXSWBHh4ccd7RyetR8rjtlo8HHXMCb2OU2EznTcvaKQ8qmFqSOV0jC
Bhis+kHnTM9gEe1RF+DuM+VGmYeAfSO8h2vyqsFrtjMxuZr+Kc4yf+02/Ld4v5xNPo/clRKClouM
gWSjxCrnZcbQmi6/X98mJtr0D5UbbrAVnEesKFjD3T5268tw4F2r+DO1oDhoE4G4GTGUhQs7KZ7r
I8oVcj5DjGOG0/ENkXwG12wN1nVaZzmhilZEDH0MMBHI5MEJumAxlJjLrORe7etNpzTXc9L3C2wy
aImHepVrybHpajz5XYbpUdRAoMut3TUvgeGHnsXm4ZF/wIJFyqcfnTG7yZo4PXPD/gJ6dENvCxJ/
VoBoCYjXwFN4x9FnPZjlofOd57HQNQSS2b5NhnEF5HojYCT+e1R/NVMbzDL+/oQgFTVrIpifoubp
r/Q0PPjNUQFpvHBMZOycsGWB/K0XzlEBtZhDqxsy0o+BP+ID0zE6wu73R307KlCmc7Kw2NoBHqM0
+y34EbXEm9EJR3ae3sQt8HpcUHEF/HhQYDSvOrFfz4xm7ioHp+rc/q60i7+q0gQArO/qFAXyFbxR
ks2lb5cjm9mpGZVFreJ0ixaN9QVd5Jsv4C9GZj++E2SE756H09rb5ykw7FR1ZGknSzaq6rNBfPn1
E7wK+L6XNz8/w/sxk1ZBYOA8cNJH2vTmrXBfCmXClAv/rV+hl1o2/X3ZbbvookUgokXPcbgOggu9
uGzz62CQ7XkM2cEKuy/ClMsuvh5Qlo6Ydn/9SqUt5M23+vMrfXf8w5fqt9Bl+CzQssAMrcq7jtyV
QjNPA+oazOyIxF+EooPBT1DpRMtfv4DX8+X7j0pjYoPJRIX8p7/LaWPT0NpeFdMJjRTh3BoUj7OE
8V3LCQSf9BInR97tYrJl6rFZWN1wpaWQOYecFnivKvOSrS9c6GWn9qBU1f3gtl29SbNPembsCQaB
T6crsXY7Ghm6qMSNsUXj987jeEV/fld200LvqzVMfK9vp004n3o7WmUBKWi05TsbgRUWyUy/QBy1
9rtPjZ8i6LlpAudotCkkEKh/OS8AziWw/qWYIQDDIkysm6IkI93GuDdXMIIBDHZadyZU6WjcTtWn
JoYNpQBZGvKD1pqXcXyMx2zTEwl1m1npojQIii/cm5YJBBP9RdzjgLCiwPTY5DhdOJm5KpL0vlWw
qmdzjQfNbzxCU/4hw9GQ38D3b+inhS/TMN4uF0xuID/GZj6pG2Pr7+az9s7YOLv6RCj9WbutliAf
PXc5rY3lvt6TruON98qO3W6jbuxjtI6/lpp/m2MnF8/31/PzJfuud2BC/BCZvGRR36BWyKH3kr64
rtR/uB3JS/9Xz/PuhoezdE5DbO8n/CTpzfilCvBPLjn/2v4/LALp2/rpqd4uAtnMf3Pnw0WQ1gYi
tFNoLOMLtEbduKRpOTQrDr3BCUTvr1fdX90BNYN7rBxpUkK++0qJ0B6FSA39BM0GuOjnXvmHcb78
A+8/u7dP8O6zw9wo8j7Q9VPTex0JFgP23TH5h3fxT0/y7i7rjq49Tw5P4vaHuSKQ7Ua3H379QcnX
+av38e72OLFX13Vm6SdQgcsxHRaqfeXG5y45ca9P9F/dPzlGT3XRFC/tf5d/+amApBkFYfs/fvyx
+fpz8Fx4j+3jDz9A+oza6bIDe3T13EDq/9Zol//l/+4v/9vz61+5mcrn//yPxy+ABL2oaevoqdV/
boYY/LtfHY+e6seMv/dXZyP51x6b9j//Q9GYqDFQgML+rSXy5mykfXAQczBv+6NZ8r2f6XwQIA2Y
phn8Q+cE833k4HxQ6cgQoGM5HMYBxPxOG0V/PZt8v1DkTZLjkXx1FucWFP3vLhQsWnkzFyOQRHog
S7OLyrXRh/FKupUyMbbrRknYikDe9/fACw4lZenGRkywwOIWLXGFE12eO9pVENgrxbFQTU25WNpk
MxzUdn60fH0+d7v2ebCrZiXiRMKW/GvEgvYx7/FBT4Qvrsuxr84xUKziIPzYhhQ6rMR15Dr7jMRC
s9ZeUIJ+HMIMAntCWV57QtO3LtEM0nJNvyIzSoAwSBBmFIjeqJoN8/qOrodlP8fCvB1s5SHpleeh
D5m5A4ZejgN8DWiBX6psCsBrIRNVezCEdQ4hVmohMAJ/nkL6k4yTJFSxbxd9B86wI88nzIpL3Q5W
dgEwVkzYHKsOASJjjS44BtHOLo2rqrGPIMueZ9QCU35hayV0wDo5z117jdnrLqvgE+r+U5hbN70F
yFmNX6bAlK51/dKpkWo6HUTZPmhuC6XVQQe0JTkFYboe23RcVC6hlTV5Oxkwew9LpLlF80qCG2b1
FUcPgcLYnOnqEv/Y+LG7AtXS4N0J0GHjPM8U0mxRbF5ZGhjQUSfJMZ6wbmmR1ZM0qBhH3FU424sB
7x1g8z28A7yvI5I2pVA33djsGC5HXm3QEzAZ1W47nFvJxzyQ+Wq6jFqLG5m6lr4msKX9vBwNe1j0
tIdXueW8YPTcjuS2hS3MUSNrWnFs/bZxH2prjr7A2xCK52qpS9tZ89coCrWTQDy9bGa3Q7Q55esS
fs0xm/Xo1hmcj6ATRiDC7kMSgX2zemDYg4muVyk7miKTc+PmA/B2Cx6X321S5G4oW7RbpfMBYwDD
X43+nG/6IQ+uMhNuqWj0/NRIcLjKZ2k0/XEMp+KGK0AswbfR9KnS8SKfyOZzuqHEL9l/buitHQS9
AbLwwudSC4n0NmltRK52rjiF3y5UZsuZAjpbcNzb1p1fb/XaTq8ru0pPfSHym0SfWq8kUXLZm+VN
4bRe29pkZMqyJcBHRdgSImHyHJfw24pFW0ynoXX9JeMIsM5J4a6sSB8OLWqj9UQzYN9O0IL9clmF
w0fsitgiMYnhjS9jL4BkutBHU9kpijs80O0BkDNXPmCPNt+MZZE8JbgRtmk30AernH0yAH/oZ0IJ
69adaQVQ+8Dep7EwGJp/FgaGc3T66byxhQv0g9JBFIRbkBxDlLDqjF4LOPuoODNtCyRJi8Qa59X/
lQ1p81ycc/9uftyA/l/ejzSOCX+/H50VzX/7n3nwnD43P29l8qHfNiSN4po9h/Y3Mg+KVX71rVgn
mQjkmIPOEDc+FT3b2LcBGw4XnQTJ7+6X7xuS/joeRwFpUc6T0ftbxfqPRyM5HcBFI8cNQrh0slX5
+zcHyhh5uTPknFS6bDVbghzUjVndvflgLr5ubm+Vp181JG83PfksCOMspokmIj2Lz+Dts1RAaJl0
W/F5WwDN8ApHpRIC20HmG2L7VWw09bKgp3omAmgWHXGoy3T2Dz1t7yu1DC/TiHxOK4xgWqj07DUF
94HTYdXVInWpBsRg69mu68Nj1LvbstPO1Hm4bNDRVnNxGGvjxGR/r8aJVONDH4zVyl2Lic3Q7yzi
1nT3C3FtA8bijF+2RJ1ROrxETN0JB7LBQ3IHI6zY5/Gj4BY7kWBk7wdlzjb+MAqvVRpQmq4Oeaub
C2m9yJH76eZH33DFRqSW8aBnBCgpnLM3kZqE9irsqjJdFVOV3BXwjIgBIOlnG7gEduw0Awo7HU3n
HP7LRIuNzBGwi04YLkhdM5yPs17ZOP71dFMrs21ttGLAI7vE/qOKCrRa1k4+4TqWcnKQ8x/5+yWi
HWwz0jhcKPnGocvn2dwMQbchd6iFE4FCM5N9N1a2c8HzNcaDNQWiOehTAfsNe/4VQFtrvAg1FO9V
MLkHt7bFHnN5cK/amnkHDwf1RDqhLmvzztw5BW37JSegYd46Yc80QR0a97YowATbaAdWBBaZnl6O
4TLtSDKqgmDa9brVc3rpxKrlMz8jf6N5bBjwjBPYq2l0IL5U0U7B5b1Cb8IcNu2HK0gB6MCndOUW
mnsVkMa8oIEake7khtBjMuIDEtPrCzLdq+jOyaz+jK+uh5MczdxXGeDiXFCZNI3R3iaGeCVoVW/a
NtWWueub503Y6/1iqpqNbfRbHDZ42ke9ueSOrq0cJTtGeXokECRfZ3V0aRbWzgm72PPtdFtE5PcG
hnrRuMM1tpj+Fqez8wJegZlU4tnDaL8UUNasjIrcr7QbVQGuTSKiohfJylWydeLQKR7pmDd2+aVp
2uc8qp+nePrIuJfDQL930Zcz/UMLOm/MUT1OTu8ZbrtFPnM2Qw8I6v6zanWMjpR1OmiMYUjO6aYn
YJwgrp98tdO8wU6NzSg4WiZWf2/ZEGdm21zZTdKAN2MQoAzzmZ7pOyPQj3bZgQVL7ku+vqbl9Jc7
YuX3NlBwZ9up8/3oNyvsCXSC1GphkEW00Jpc3cUWCFFtogktxAXv8coixNUbozlgRuSTKdKr0TE0
bXDZvn7ZpmxcQ9UeAn3kYm61TVrh5AJVxFWWTQeXRaQWguip2htJMXJK4wzO050yt8vEEtedHlzm
VXkm+LnX3bOs6y9DlwmVXq50mF6rIBgX+pRoizgcOOfVRbEMavU8UZKHItEekLDtCQI9FKmzjzvt
cgbElRLAUqTp0TJjCHfVdJiF2JYK8zuHOKEqEdvOtTy3ZhoSjgS9zsPeKeZpV815vicQ60s2QcRW
whxLWQBczRqNZFO55cbHCHU1T8Qy/vrO+xeyZA2FIFUG5Baau/zzxztvOGmkTtsp6QpVoq8IWJyw
0k+JlxFVddZmALRFTzpQEWbItOdnGp7NZVUl6o0DBW9RjONVB4ALDqKXuOJOHdtNFdoveRIHXlnC
jSAamyTzSV0XM9d0CuWq8K1mOcQOwVRVr3vCabdEeHwm1qxbRnHzUUcqvcK/TpKxCkwizZdDRc2/
00oIla2fb7S43uhkKqd6sWky8WVKs2swJvuOeJu5SfdVB821LM4w4bibdphIbJiirY7/hWYpBHXQ
++vQjDcBu5/XqM2VOXXasgztvRq6rGt0UCBNNNAG9XgbR725cG3Gjvqkn8xozpeVbSOOjpJjX87n
YRPvksHaWPAWKBSqnZ8nLgYgYoQyB8MHgC0rKM/SgCQhkeunKIWF1GVb9jXIJiXJXMXUrIu4PiVx
eoWok9EXZZhn54C4DMyXfl1fRJx2oU8yqK7r+NacpFNwjACDikPEuZrRXrl0GLwmSSWTlNBUZRb+
o/s4m7zMIAgawOjAfchoEKu64kyt1B51s/LF1+x5UeJzYgA0LhIiXHdKKe9l7Vkk7E+6mq5VdSJs
i5HdlOnaMm6mZGWGwcmYLc17ZW2ZZexsCWPqPhYGoCcUJvUxLYZs9+tL9cdO0+tBxAY9QRgj2Vz4
L94dERiGDWPdZ4Qa4TEz4n2td4tfPwNTkbctGnT+AssIjSwLtb/jSJ3i20OIYaPCd9wgOE9xcir2
KeqibVRe1QMITqh84MbwJX49HP9tC/JrW/r70Yc38u5Z5ft+c8DqyqQtTUNRjuqUX2MgQCTB/2FX
/BSYnD1C5EJLrL53tm/s+o4Ax34EvJzm8BhVPSqW+G4/FYo4i1qTYUAWrlN30D47IR6nTI1vbScb
vADbqkjNe9tPxr2WGnbH1ZQXq24W+cohjtXTSrgWWIynXTcK43ORx+0a8YQB4i56or9XryqVLGnu
wJPXOra6hAh23ZnpzIA5uWViqu+yADjS1H5hGLllU7ohh2FtN0Oz0K14a6ihgsCBEwr5Avlmmjt1
WZGshXPSQs8bjVd6mCPrj3qsAAF8NheSSdO/VM2gL5oy2tWmskWOcDPO8Z2pJnurLRjUS1R05Bsp
A/8IbW9n7ZI5PqBI8PLJ1z2DURMbTMJdVr3rVdoKUZwdnXDc5PWw6v2ZK1hdJW2QLUP6FUWMJ7ic
Y8erU/9YkhURWGKrFTZos2C8RlHJAa5UKDnJdTSMVl3Oot0oJTGTWlc82kF1rNXsskLoWSN+pqLa
9xaZOL1lbAXzCapI7TafKLN9Itn6ujsvbfZIQiR3dW0+OxS2Sz+Cq2SZm6A0z8SQ/lN/+J+ucSqK
t1fbQB+r1xFZH4EmXgTnyro6VB/JTd5ZW/uMRJBw+aQPC4bjx/xhOPx6fenv+uB/XOqo4RAS6kwl
5Yt7c6mj9HRyGIfKkcDgRX6mL8s11bd2UO7EWl2ptydleXbXr+gk94/8T3o+namLfbT2zw0mE//w
an4sbL6uO0OVDTbDpoyy3o2LJnVAW4ER+jxULyDTLyL1rv7N+eDrG377HO+68XOddUoYpiGb63NQ
b93p8tef6F++B4HWilEvfGrZIH37gWajPSP+qNi8lYvKZT1YnDm/3qH+q/vJ/x+W71yef1++Hx+/
PNePf1G586g/K3eXVrKOr0vTLVeq375X7rr6AbsXtTsVm67rNr/6VrmLD4JamnAFthqkqxIn/m3M
bn8QUonHpAGAOWXwbynyzHdQCVrJjkkrGRU8vWQ8bvJFvL08FFWbGr3VgpMPGFvIdL22wZ2UErjH
xPGuJICvHFvXm4nkky3YTZ4FbN3dFgzGsynT+wbX4s44YDIT6WHEabaY3RhQW696GuF/8n5Nwws4
kpOlH1WZEOhHsBDMqHzSAAOzVXTnbcd8VevvbeIFNWIGLZk3yCziwXZTT6F4+MhWrm5zTm9BNvhL
4dPw5GUX644IQ5jPGQlg+j2BsLlXyZxD8tYab1Bsk76r/9IPzTMyeUCR9PpWThHjQyMysUjCS/Ij
H2eiFBUZROHaQb8sLCq6hMBFSyYvdiScQfwKp0Ujis8O8YwE259nCJ4X9cBb7GSGY1NqFwqhjnEa
HEnpPsQy7TGuLdIcIv3CiuMLNTdgYkdpuxxkSmTK6WJjm7jb+2Z4Iq6wWaYaENskdNL1HFpofNX4
pid6En0vaYEqhrvGSMUZmLnrhqDKLNMum3yo13FK+KtCmGVIqGXYjoeyCNWlwPsrbcy7QAO9HBRo
g9DiFouis4ivixpGqOCTb0lKzrcu6fYQykSMHI9sTXwOkGeT8YsiczeDPtSI0lPRaMlUTmNwlFVJ
UKddEdhpOiUSId+/nGSaZwiAbj0F7KZumgGRkqmfucz/LGxlU0hAWSQ4xFYPGJbJCQwgLKdlSHEa
CPLoCBQVMlnUJO6TjFGf8XoFlQ0Xz4Jz8VPrhgSeysicVKaUpjKvdCS4NCXA1A7q8gh1jXi7APoV
kc7rOCLvVCWEJ/K1dtXndrPX9UoyakNPIOn0YpmYip/cIuSIFNVaZ7hAOM5TV6sGCYodx3OZuhon
5K92Mok1islkZQB4RPTnes5oP9dlD82MJnE+tPnSaLmUqelGaAQRGaEBfSlNsa9zImB7AcYkooZa
NI5Ity0N+WUTDNeKzI71qfqETJMdMuTl6FaZtsus2YrQWV9FRFmZqbklp+Me4MVnqp2NkEm1ktGt
ZEzjAzguQOEJGgirz5Nr0r0dRCW8vHHtS/SbrbnHhq9ZHNAtKtaxnjJYBIT6hndjwJrXE6egedIB
jRfjejJa40IM2f2Ql8yInEhbACqG6GBNH0fqbSojBGJjpCycgaTHomgnUgoLQjG6YTOkCOGjAo1i
jQRXCwP7AAezWlRYw3A65zfwSU61XcJJIfGoK/KXqK2udSPc5bpz6B0slm18mGc4xBTOoRIe1RhN
aTHF4I1T2kFZbV5hxOoZ+FT9uhq1g2PQ9aEY3EEi1Ff03u4HN9g2g3lQFfXFbsW6SeBIFrBoCwk7
RxjzqMtDXiVB6NXYDoglJBwdSrozBiMp5bFo27ucyUCxHsOSaQxJr8W1gV/sI6XsQGdChwthqwQU
bI3IsR6CpLD2Ldjq4CIF/+Ps2koxH/zA1v1jbCFrzsgg8Lr/xd6ZLDeOZFH2X3qPMszDojcEZ0oi
NYe0gWnEDAccM76+D5QZlSFlVIRlr3NTllYSAyIJuD9/795zveBeozOxsgadWyMgeC3gftmaAuRH
nyDa67nvVlbJoZ+78KEFszLhxgUub2+hEAeMrBDT9cRgweoILt1pOg5FS/pCDlYXKfUps0PKbFzO
q7yMWZ5S6DttmLyH0rmUNqJlpbeYLtRkOo1p5jsEjdHjoZ/Q3VUWEY48xRs3wLczz+AqdTp5Znxo
09HyobA/aQPruCh6IhjyKw08jt80Qb2tMoV8gDo4jqmq+2MDA1WBmgU/utfSXTHHeNZG8eSILkKK
RMSnQ9ZnnCbPOtmfIhmeB3DuBfybxUQ6aGASE0o/jvkcyaHqcAamfwkTx0UIW0wbTlsbpXOP4ENi
EN7Ju00KKbQxDtQGqEHySTUKtgU0Y/Lg5/BSJwdLP8eZRnOwqZwjTgsDWAhh0fki0WNcTTifRhJR
jU7V/LwX/UK3q6s4sTxi35yzoKxOYg5UreZoVcDgN1WkX5gRcHYrJGpYSrid5LFCEDkJ8lkVkjFJ
ZQCT7HYvSU+Eaz9kh34OdeVMdgjgh1qkvYJkOo5z/KtODmw5B8K2ScnoVN2VtfuIkCLekCsb+rZC
1hgYbTI7YsO3OGUXY7bEhXbteKmBdtR8sztPrvs5ktaAQZPMIbVIuG1+cVijOdqbDUG2bQyBBDD3
Dpwt6zPa8bQjClyJr0lWeqpaZ6dX/H/k9nSE5KYGX7UKhVzO+bkOQbq5Fr4lnre1EB4JhZ8GRO6C
EH8ta+2Q69Hmo4z6t56cVZa/qidh1f6knORF38vJD4MHTiuaHIyDEIj/UE5i8NABhNkWJL7ZhPVX
Oen+B5Uf4kxoZ96ftpDv5aTzn9klaWJkoqNhMlz5R8qEj/7HX52KD/kWcTrIHzCDQVH4Kt9ymTXN
NLHpCIXkrjKodzJaFWS1ok7TpnxNXN4GqAxBMQpNCu8O8CQK8Ra6ae7ZN4lrnhui2eXo5YBoojBz
nBxZe0x39Rauv7YSunoZKoXcNSyEpKVnifLMGJxlstCQQBycoMvBrhcqE04iFbd1w56Xt0l7qaIT
JyrXvu7T+azejUfQLfjrC2NZRgQ5VoO4GUflDmrmrUFJtFB11mRVUl8o4zGK3T3yjiWB8i9ygtmU
FkRCJOpVmegnloU7vauLZdTwZAXN3PVjPt4Gxfsop2QR6doanky41OWMtdGHI4GGT1VGsWB1RrsE
JPBa9fm0bFRa2N7grkK1IZBaRNo6dWyHeBjFHHf9IEio6MOD1jpHI+Wp1oh0aB0f/6mDIyCiR653
B9mV95HqPSjMu5mlGJcp0+7Gyu/SeEI8n0y3DTEnXauVF1rQs1eId13VaDXEVx68eGZG+VkZ5jst
H+/Suj0oontXJSWpqoyOrxtGiykAubiipM3CyNJtVSvMpyPbJ6SYwEGdDoXFMf6oj+XoT0yn/K6B
sxKJ3m/msDSRMHTJ1VFZuWk6+cVQakhPnJdoDPeFgQmkCRJ1UQ9MTlydFcvYtq08BhmEBIPe0jmU
jKpcMFNr802DbDcFD5/vjEb6dW2dNwOoCUPoBCkU3dpUg+cU7E6aofI1Wwq/YngKbZR8/Ju+yDya
8eDR+gg5f2QoT6oEGC47CGFaSnMZGw+0DMbjfLArV63bNUpb+yzrDcjAxRxDymhHb3Jk+XrIdMnx
kuUk2y1cMAQcNnElWQdHiGp9Q6+2WWfc/xcQ+llUzZ1S1XcMaLdqq9/1HRmgYVSry6bWNXoZenJW
FpA+QlKxVpEF2TLoEoUkHOhMQLMDchk09aIcDP0SkDX1adptPOIa8TTtc/JFyO/Rn2hrWBhAxvjo
GDoxPZa5Ht183TY1sZRjnJFPUDyPtVjrXfxNhETieaB7w4jvM8nG7IhCe4Ew44/V/X/2M790JD4U
0ahT6UXg8JwpQp+PnKUxkICneNoxy29T89Wylr9tBP/kEoAP8JyqrJFAY780PcYyHOokts1jWj+3
6WksbwrvD6Xqv3vUzK78xR71VsCqiIufKOjmF/6wT+GKN2hTcI98iVY2544IdlYLoA7ie5r0f7Y9
PlIAdOy63h8ci9k++H2fQlxHF079Mzfgu47wT+EAEsT/fffZX1qM3H+WoUP+xHdMS8b72sN3sNq5
uR4qR+IzQEOgA1fN6S3oGT2nVmaDfMANQMCQHMM8g/1YyitP5sql7nQKAmtHFA7COY8+sIcZZ9nW
mrznpOSML5aC2NuOoJDps6snIe0R5pNLQk/d81/swxtyNXGoz44gPMXDqisVby01/RuoS/UlrHAQ
VfpQrsXsKupb/E3wxGz6J/yuMbuP2lSXj+WHI2n2Jk0Acfd94eyTBLR+j4GJ7E264ViaWr19JmRA
XXSz24mVjjC4eRXDCDXOjqjcsVaRZ3YX7uyWyiVYQ1AhxgYRGwK/2VUlUxrUoH0XxgiU2w31aaHP
LqyJiZ+OSPuU1GRlFWOTPXSza0vT7mOzxkahpBdxFUZLSoXLZGqKhYHla1QT9iPC43o6P3Xcr22X
vd9ssmbhzo4xZ/aOIYmL98WHn2x2lnF2U1f1h90M1mC/cGcPGrS/GYuILw01I3HUoYfeQhh+Q4J9
NbvY0k4Ml9PsbCtqM70cMLuJ2fXmzf43aH28KJ2meA3wCx8m0iqQ8slsmpOzfW76cNINA6FSHNfx
1yURzuoF/uvg2ppjI7uPBElu7GJXyK7b5DXOt8BW3PPY7BmRIew6R6hfu8W5BnzuUmujhyyCkhcV
9lOIwBepNUczyrKHVGvCVdCU76pH6GajhGfEBxNSkIzHjKM++Qf5ezRZS+YdzRFi5Ii804QsKt3U
9wpkmUpn72RXOXud0Bi/S8ZrGCl8TXm+MSP+x5OcNQerdRfmOLMj4hZXurVo9Ba/hex63TzvrFLZ
AyrD72hkxsn6yLGQnJFVMI+W4et1ylQiyZozjNw0vLjREL1B2ZeVhW/EFGKpCEGHhykME9t2Y0TZ
47ztNSpb+Igvc98P5DtnXaitLTNwL3DyrpXce9WVmkDY/FK07W2AeLEuHQZ2ulJejEo87vQZAkH+
G0FRlA85W/2NmgTBynXfGvCVccZk03TOxgj5nJNEm4pMOZtzLO/5SGjZmZXnj1OnHCwtPssjTkFx
awXnhUtjI0fruW6jkLS9ISR+I9sRIL1NK74kNyJDuo+Z7iVOsKA78hS2WEAaOz4SuEycQUETXWm6
HKBS5Wt2tvMaa+VKhMfSXfSM/bHZvdtOzNKSryWoDpDtvtqxy4Y69SJbb1QmO6czIekPfo8XZBE1
DLg4KN66mXrUzfaWOAN4NaknbPqynr0P3Om9rLQra2p3Dgx3AygvXEjDVyM4nkrqJ133FJHgZctu
VRNERiive6rT4soV+quX8gznmfHWeOOVqQz2EnknAd3TWklNv+Q7ZjKLeZZxNiNov5tUgnWC/GUa
x5t+vh+1NNnJNjqhOT7mxGDgIiYnXWydXPgspMTPW+plXgwXYzX6OmKFImiXiisXABc25ANsHaaB
eUmwRj2sFWse8uvxi+22fqaUWwU/axo5q7EUx6JU3VWhio3W4FZOWlxKDfbKLtyiRFzmQjmjKboe
s5hDK+radPArHhHd1P1AakuOOX7QZG8yexNBezWggEpcleArypi++GbRFqsng7wRrkG5aAb6kUbs
dd3Ya7OzONEPV+bg3WTJpJNjjr1S9OomN6XvBR53YECOuKOugTu+jwxUWOHWdI39OnKXtovxN6yj
HfXrFmb4N1Vr9pPlXtt2+c2N6quwQyefvxao3CsVZH02aAvHmFMey3UdjLOVZhWRAxAa0aUBf0x0
xpUe0A1XmoUuoQ+DYCtVdat43datlbUaZdeJJc4aS7uV/KUOlH9EneUqULpDrbZrHsWL2nPXmlHv
jQBa8VCtAJoO/lCQHV5h9UJa/tK34hv/FG1yKA9jjdCUJwmxdUQYZdE/1UVNEa4cIJ/tJsVBa+ZE
i06moPDZJEC0Vj6tcYpp29noTXeft8Vjgyl9LJ0dE45VGWEOF43cFq61U4ccWK3lIc7ovvVSvRcy
ucIfR9dnWMdBy2fnrcKi2TqNxd3pwLXoLsHYHEoEFZ3SXmexs3WH4BjM8dBmvu8C7TwSDEOLNibb
YjwBRqOBQsph714m0jsztOGhtBHKSM4ksLVuA2lf1rI+FrV1hcVaXbhafd1SgXYlbUtJDjpRoWeZ
Fe6p1NVFTz9fzgvVJL6NaXPQJUrkkpAUTmeJ0ft1P6s0C9o6xa0sx72mi4Oim9FRCTh3hFTY13Vt
oifWm72kMT71PWehlI0neaU7eps0OZ0XVCELz2keMKyR4pcuE4HVPtZe7Zx6v6m+pTLawQk9st7G
K1WmHKDrA3prnsvMSf1J1R4iqy7XnpHe5BKbWDWkm9TQTknqJhieOSuJ3lij3NwGqe33upKvYtCp
HYJJJ+xJkh71ObSa2O7iRJN3kwTDfijG11JBYFcnT420GIHQic1JpMUa5qzaNgTJqxQ+rWjaRq2f
Z2wSUBK2neLiobTWMF43YeesCSBZcY5h/SHCEUXKtB7y4jA24UE2uNZojy5kQyw1WURNnPpK1Cv7
QidkRaXPBcZZamKXKc35pPQPtSxfUM2gF6o9sCMwbE0OcbnK9vdDSfsTsenfjw8wQQkNpu8+j6C/
zn3xKEo44IVyVHMa/+lCEMFJA+3XF5nFKH+1SmZn2XwRm2OagZ/c0L8cg5hZqTZjQ+U4uM+S5nn7
MAgM1lC4f4eO/1nB++OV5r/kh5m6CMSoTQFX0gmiMsdF6RAgNe0EoY3tYyzs3wgIfvrp8TQh02U6
TkPq8+V0ZgEuMXbhqVMem/ZQhS9F9vLrz+5n74hqmWKZyxhQfT5fIrCBEXhjGZ1IS0r6TTuOqyyi
qRASmQpjt/lN7MhP3pGpzVFinFg5UH7F3s7zI31Um/gEKWkRG1DhZs79b97TZ/HSx/3w6SJfRD51
oDSWHXCRRJIJK88SL1r++lP73duYf/7DfdA1U9NJzFYn5mU2crBU3ATM3n59EdqMX2/rT2/jy1dT
pqCWuryOTwN2U+R0XnyCa8YC92Chq6uPelv/5oo/e1vMbSFcwJaxEMF/fltp7OIZS7T45FSXsJHJ
HN05/xB8PD+sqCdU27QN7gMcxJ+vEViGYrudTE5FHa1yG8KE8Pvs9p9/dIBmacMYGjTHr0ZJ0UeO
E8fQjmX5UNhnESfFhMXAC66T9mAySOuDy19fcb6nvqxBLHF/XfHLl4VwDKGpNjKfpj0GsAk80G8W
g5lg9MMlMKjhLnBMhMK4FGye1y+LTy3MKI0GLT8lZ3Rtd2ye5yBgVtZldGX5ZKutyUpa//pdfb7k
H0/Sj+/qyyVRHuRDU3bJqbNRloVgRYDD6WL766v8/LMz+UjYOQEVfLkliPW1nQb53CmoCDtmFOk2
v/ns5k//67eDboS7DZK0Q4vu801XAiVDnaEkJ4ejL95Tqs3H2AzpOye/eS8/+8R+vJLx+UqciIXU
HDs5adZb5F5awXU1/WZ5+/klIMBpHk4VuAufLxFraeeaU5ieiuJoIekaSMHQW/s3m+rPVh9utv9e
5ctXn8qOAAKCPE5x+kKmcmAoK2murbT10+akpJvM+s139Le3pePGcWA8MHBhkmJ+kYjpXkACryOy
U9NtKvnY26tquvqHN9qXS9Bm+3HZxtrMBxpV2amfioWmEEaOQf//5xKz1ggzDzEzX95FMgyEc3DS
OtXZizLtiJ//zQX+divzHkgmputr0Xj7m2OVpdPptWLKT9R5eYtgKNnFeEAK7+3jjfzbldX1H77R
2T79py169sP93/9z/iZf3l7/PjqcX/XfliwZq4BSLQsF/wxX5EffPWT4nXUTsrBHP5RV64eWrIHx
jEoYCRpMF9JUf+SookQz8XyBczOIQQUu949Ghx9l4V+r3YcSzcFZDUd4ZqlCOf58mxuKTi+kStOj
ppqN3HtNXKp+3OWmgrokdZhU2ZLg+bZKqkvNIegYuxbqye2w26lBsilmCdLcgmrcO7o65aKMuxvN
MOVBHTIRfQtmVYLd4MMcKVz9/EOykKLZSfJmW+oW4m2EDSIdj4NC8Ljn6E8BNzIh4umhRAxR2OQo
O8gjBmQSBN5N69Yd7pCOvdqlc1Uagn/AmMptOFgM11yxNWvvkgCx905InVz3nB7SrM0o+ya9DZBr
KCbxPg3ROX46aEeMppd9niBQnlUe4az3GKS77Wy4VHnab+eAEXPWhvRibFfdrBcRoupWFBPJtjRy
jEvSIaxHBMg/quhbm1bNsrBKwkuAvi+mUtXWBqYRdE0GkS+93URbplccgSssX2BLAGThXlKybRSp
5SoFArKpNS07gOsLr5zGGe7tDkqEIAOH2VxsHWMkin6oxdrFONJ4HUz9FBU0A4uatEm7QvVM2GW9
jkROxEWXc2k9cQkjrJptoRuoLiKJiaDTaJgSA0oKBy7uywBU88EtJSe/3BvrkL+hqOK96Si2tvNS
OstrvZ+TYJxUe9Yqw1zih144FTyTqGux2IKwbxgARsDD5gDCtWrllyYQrZ4EGwFVT6ZvqBfvqzo9
EyqyttzpNxmqFR9a8Ln0lPMa1xSJuvHSIod+iIp9qcsHXUnPkh73W6XnN0aI172J3BcTcQhp5hdF
PqDDiRonRes3xvrKMDoDIJwVJdM5bFQyVtIe/DXETcMkYykdo12bB/jxAroOg627q3wKX6aBZTdQ
BXFFHh1SAVMMjXsR0e61Xug8y4WFqt0f9IY0n2hYtVqzdPLxNhyaAZJ2YdEn6xJyg2ndgzW8ANuf
L0kbRvgT5jGCjhDhFr8JcW4R0WpxOED5qTqrPS0v9UnYJu09irulOqgXjgWEOJWo5MYSA5eqNgc7
HjqfLqy+irNaWai5/mgPZLsEo7juZ6CpN4KZD4raWVQkDHhooxZMgDyUk85bHoSvmXAzn6fLb5IR
5wyFTWsxRh87muH4tf22HvOV0Gb0r+i9tcutr2om0ZqqbCA1Wg2lnEJDGM1W4oh0X9SNuPl3//iD
G8Zy+r+neifsRE/13/ePuRD4cf9gMgfHd94ikMN/2j8w27BwUwqjNJmxo3+N9Ex+BPwCXAbGgXlr
+T7SAzvKKmp5pOVRG2Bx+Sf7B5UK+8On/YOkFUTR8/ZB05bR7+f9A8NRATZ+BC6VscRueRYwD7pV
ep4QtWtO9aUbTfcBk3G9arJNH3r3mO5gKkTBwhLhxiNsahGnwy3tKKRqQl7aBNR7pgqzDiFWPuyM
oV5OLTg75UGEpFWHa4YKRy3xEP0iqfVta4Z6axMmqRpoAlDQ12zGUo8zk4a5xwPE+2zlGgq2mb55
mES+7XUjXBpWd4r7xlhVaAT4uXqYugGLv2GcQxthHulkd4XSjszo1Le4rN/7SX91sZQgZyHFWOrD
de4OPduI+dCPyr2cGNvj5V0mgJfp5nsXhT2OB4WAEFtDQjYULOED6VWcavjFoH63gtbkF5G2dNqS
JibBano887jgD+URXs9JGC9q+s0aT1GNG6xmY7Z6ubXnHkXgNBJMcT+avpXS44WIiO9lWQLO38na
aLwnLUbVu4oHNms0GREKlyLdcuaoVsh3WgK+hnKlzuM9kLHDioEpjrKRIGZD7yTSkHjeJ8K+uYxG
RGrDlMnLThjJBrFKRS8r46NiI1vU0lQRIaMVzYuUTbOyv4lJ6gtspoRZS9NdCIFWu2kjOJeeyFeB
F1gb2+nHS+5Nk2FDoi4TyBmRsMUetDHJXKkZnweWmix7r633EQ3NzSBD4OrIUetlRboBdhgyubS0
fdc94WJsrMCKpEG41WzlucMGtWA6jlexy5CUVOBp41qhNlDtN08R0KPRFa6KkltVeuYuU0nZJp8k
O7lGmK40jOOI9MZ45WmEhZiZQWO4q62NG1Vv+aB5G2v2n1dSyU7OJMI9nxz5BkFfPLmApXEjxuo2
UDkxErNIRCMpHwtDa1K5REmdcjspxXM50tISyNSB39V4w11FHnoAIoewh2zmRXTVGMkYm7KxsxVf
noke2Hpn7mYyUYwYT5jGpkbLAwkFK9gm8cpoITE2PKs5rV1G4Qy28thhsCRtSg2zg9raawp/ZWEj
xmmzZ565cC8THW3rBKx0FTG5UFeD4Q5rr7Nk8p4hEtu6mqZfCg0ZGafxmvCTSZUHo4x9qQ43maKF
KOYzHEOGl65FVt2NCvHv6gS9Y84iXtVQPayuflDC6j4TBWoal4zkKAdH3+XsuIlKNrwzJndaIU5J
VcePo8fQV4/C6GxsXcanBNqXE0TfonEXFmZYHxlAtSPBnXjH7rFVg3UfupE/eMp7nzQ1GrT4gUpr
n5nZN7I5nY1RK7af5XJeRLxzPopdS6aK4DlVWu6LJndvsGCfKi3alyg8F4UUFxw8X3Tbu+8yBQKq
HE7NJN0dw8atmOprqCq3OGkD0N5wOquWBHbKD8xu8bgxdOI1ETuZ2C6KQx/WvnSjqxAh18IJEZS1
mVEdLHV6GpKExlKhb2MR7VMnOLpGf64McGpGUEY8KdQdFDjQhuOMmVHhxc+JWxSPdtok29DowM2Y
LayhyjP3Nv25hWkLvAdW/uzVeBNztS1WtlGdRK9c23XdbxLyafZh0fIowzNZpWPv8icpIPiA3azL
gTUpEH14mRP9sKh5XC7b+eGZ1CBYyvmizRylkGAi2ai4/q6yUJZLV687pEqy3RB8yFjcAnhUmtq4
mpKInLQWtbUaOONmgBe9CurYIMUApJ03JfbCltZ7PYbEt5nTbmySo1pUh9xIzmhT5CujV3V8D0a2
MghaW6cIHNaRY6mbLABCY1KubXV7IJ6vtBZxBNQ4iGN9oxsDS33CXxvlPLV6j/4jK1CP2FEGs69k
lVLnyIS+4J1asrNmyViIClizN0pC9ZTkyNKqECp0kWfE1Tv9n1bWf4/KOp26/13qnIufapd4zfdC
B9gKVQyViaUzMP7I0/l+UCaE2Lao2BnF2SBOZzfXd8sWAiXMdaqD4Ml1kNr+UOg4H6ljBBfTPP7H
ZFRw7V8LHRLHaKUi7kb7Sdd7/vkPbfx6Yutsrda+CI1iOqs4mpdMqtkTzKUyhB0izylo0d0rhGRk
S7cJHIH4Jsdc0MbJh9hAzc7dNlZzRssh1wj9eQU3GR23HJVWITQLJDtTb0Gs6hsenvu+xWqynNTQ
xGmVgi8pd7UptXLBCm0PEEMd5PeRIsK1YxFw3w7FPTJQzOl4a5rCcRd1DYmr6rCUYw3JmZ8oNXxL
9SYp9HNZsLUQPrAMRvUKsSLWEY11SwQlZqb8UFTBmdYPdyMPO+gUCKZlmbP577I8ZNIcckogfzf2
U4cY22xwOB24bD1tMGGTH6b73PFOmsrhMANirbR1uihhRi/oVJcIDyF9MunU5yNU3HbfGhQvC6jP
BJKphE6K8VSLYlz3dodDvgViFXRV4xvONCxTdsQlhuxpNVqsqq6qr0BkjEtAD5ji3O5VMYcD7gh0
umiX/DzQXgfoTD6BEWvgMduY7F6fSLCzxNVLP4ZwDkeG+JeqPyNFtPW7mHMRhdc14cvrymn1dZAG
fq5g0QtkUO7oqxPJaYqLRBdXVdX7dCIPMdrmiLj3RYcrSHOqFZGpz+ZYAu2OumVjoAbLUgIkTOTX
Zbg3A2KVS4oUICn0AJohWchMpGt3dPCJGc15rkxokDMJvgGcCRHJ922B2RxiFQ6F0YiXih2eyE+K
F6bX+FrV7LuWtOBKlfehQIg0pdZhHLXrJhxW9kBfJRmIhCmSK7KYz2LLWKZO3C5se4pxwxC9WSJt
JeMziHwVECpnV4eAWONNZFq91UoCL6xCXFga+WoRAcqFkd5SxN7lbGGirI5KVCJg8Kj+zIwwJzdL
8Mfld73jLudCqVWNB7VsxdKhudH12fWQWqRhzzmTs8olchlXjXWCz0vVowNoCkj33qRuo76/Lxx9
TvNs7oegv9PM+sasaTOEctoUkXeEmuYrCVWC1WBoQVuBN6/3Wyclqy7VYBXhFzGa9jpIUJqLRGtR
UoS7sDbDbdVUV4BfH9DoPFYWDPshJtLAS+IKCr2p+aba3nYxChaNYnQp7GivKGKvOt5TMaGwUcNK
93WhXTMZW8fSvClrdaMY4tSrcU+T3bg2sX0u3UhFFT0oF2FknsdOqfjkCa2HOEOx5xQb0PtPeTgN
WyD927aTJmWt6/mFkhZojTKxbpriISmqjs+HLkg2TO7BU0dshBpjfnWSZ7GdrvMeL0+go3omj519
VenXWT0eNc1EkUMSgZDVRek4t6hPoj1S+Gxla8NbGntXiUmJaJNziKSBo089je99RyweZXOxDELd
9Kn6XLDmM8LFAWsQZO01pAJuHTqUoOgVvI1lPKIGEpZvimibhsOTHTUF4YVFsRps77y1qnPK1bcU
3RSibzZVOVvDLDxiOKTfJZ6xUMTbcRIPxYeZDFeZM9vLSnxm6mw4cwcF12lrIxLSzV3YAHqaZoOa
pifnBFnvR5xr1A8HKFnITwg1zJJdhMMtiKr3Zra8Ydg8G/HAkc5+U86mOGOkV0boqw0IiXVPzuY5
ip2VM9vpEnx1xWywc2arXcbJ1ZrNd/1sw4u7/s6bjXmtoLLvZrMewP+HYbbvDfj40tnQl7uG4LCl
47HE7af3b/1s/iMsI14Vo3mI7PxhGPlENQ9tTd/oAHjE3Qconlr1DovHWwSmEJUVnqHJQMBTixdP
Nx8nqb53GjdDWdg3peQLgxlgLK2sIaopLKDj5s6pw8YLLl6jY9MrsLC6C3RqV7xVZK3RcQLMv7bM
GZ/QKfpiwtrq0MdYRq66a0WKeC5wh53ZW9d6GXyLHJgrMovf8h51T2D2EAEYhmzrtLsla3jy0QNM
COhkhwjq34bQR0No7r//7yrp4ql8+ns7aH7N9yoJJ9KM5LKYfjHaZSj+QzuIWNRZ9U2FpP5pUvqr
SqI5g0vJYWw66/951fd2kPsfwG4ePzHmKQVC73/UDvogxH9qB6EvMxgnMLWg8MLe9LlKklWdmxYc
i2NZ1iil9Ibn3aOwLq3xVkuqTTA3cHutWgZl+6y2wWNsU4Crg3morSBj2VZuva5aqtZ4bk3olyzU
nOQoQYMM46ONxXcM3JOahZofa62+qlAKpoN33hvWmcjFxg29bZvoR4DiHMFscpJkOJ/y7P7atkS7
xin0ptjFAZ08QozODM8dG2KIUqbBwq2s1ajP/lQF+aER71Srh1+pu3ekr5xqPTtaTEcWrSw6NG5d
hvtw3AQDhsDR8i6zJATqnvrExbLtWYiuw0yoNIjNt16Eyfk0teVT0XCd0eo2EEJD38B+T4N9myup
ug4HTS4JjIpWjRerDQLPct+qtCP0EsBqqzveMo0qP86stVdlzyGonTlea1F29aYFdZ/6AnDSQBjV
2lFhp/XpVs5LcNh4flVHS2lm2g4i3MFQs3ivYbQPipF4Ukk6bJBicU+haHm9fV1psY1fRTa+gg0U
J4w0j25m74qetU1MHgSY2sp2NAQvbMw6RlEQLd4Ej9DSbxKotrtYMbbmGLwxvS1ISRlQ7Nr5srYS
TJ4CZ7VimlsRBfC801y9GV0WD2ewdnmBedwMyyvGH1tk4I4fWah6w6mufBp9AePRTl0AniJxLvHW
cUFlPUXxSPoKm4oVpi9SK1AsVhrtcmXSr7xKcxE+pvh4MHaCXIiWCrOgddfPOUbZHGmU4hvd2XPM
EVGTvd8rbroryUAa5jCkDi7kwtadZNMIK6u2sg5FcA0/VdkTd/saKoJklCD19lMZxb6WyZ2swpta
JWxTbfStqZSNnzc2TZDWWnVusXS7QhwKV57Xdf4uhkIuzKlnTtZ9K+uRjXiK71q9olfF4cTvgvJb
B6WWLODprC2GszxXTboJCW5tF1wCvdOmt86pRngklLum10ASw+tLdOYQdmgeHcY4rYv2O6YuRZAv
FgxyNhwZzjIbg4TqNY8QSY+dmt56A5G6uRXsQr2iRMOl6ydaFa9kIup1HBXgrNLzKCQkLQujlep5
5wWw2cYizqd3lFc6H7c4vCs/VEKO0Lr6asTlXZe6SyWkTSixrDx10lopmvJAeAytqcY9NwZ2Mm20
00s7NR/RjRxqzXl1pvowWuXFpFEWxBOdCGEdByH080LmREBV2ap07IMxSB/elsphK7rqQrVdpPFI
TsxNqqzM0T2UMeE7HaCaIIol2TvKTdw5oAXT7BLHiELlJh9KpblKAClSbk2nyMKRYNM/NXooD3Gy
UhR7O832EVxx6Mgl0kfqlkUWeefk56AjT48EofqtybeuIwztHKKD0nx69OyuWTe59G0CWemjQU5I
iJLvqrO2n3ZeGT/jGYAdpmkY1HqPeWly3WTWsycRAIMKjhZF5dzRmCl8LQ94iEXE/CxqGC+yFpII
lQ2bugCc8IfY7t++hE5L4Bc77lv39PqzPZdX/XfPZYTPdAUtBUgZhG6fRzA6FFb0iabBsGVWRH7f
c5mzAJchnlenPTG//K89FziNan1M3Mk9h1Dzj7Zcg7/s8wTGwXyCfcui5cAF5xbIj40JoGulYdF8
PMbFyRgdto5g5AzSeLfDBDFKHYHIeXpx5k7ZFVDj57HMFN/hhIn/kg4faAJ14TTevk69I8wcwazQ
fvai9Dxrvbtpqm6NvnhHeryuFJtZDZLCrMzLhVvbuk89uFH1/AylMxrroPOw+BgXvVohtQegtajs
9M5mrL42BFFLGsJ1nd18IXTrW5pxm4/TsxLAjWUZ3fZVe5vGzYmW/EXs0qVD+nOdMxoSYggvgq7Z
A9guydOoD/+PvTNZjtvYou2/vDkc6JvBmxRQHasTiz0nCFIS0fdIdF//VlJPvrKvfSM898AThylT
ZAF5cp+919bcVOCoJyE/VfydF3YulGy4Yi/ceEOVfEgQo9yUsfIk0KpJiqwwyp1zqH+LCV20dJxw
zcYUP+4oAu58m8Yl1UXd+UoztW/csi9dptkwpJv5blEKNrwhsdS685dm4vxLjYSD2yQmWiopqE/r
pVhANNoUmrPrVfMbSM7AsEetQxoKoXNWaeCOQ8BeCsbkzGQyegs7AS5TpC/WS2s9SmJH5kdcJe88
R3Bor4RVoadMiLfLgzaO6MqkvRoQnE2vxqxwMJWepzlKOW7iKDeDsGJ10gw0u9v0bXXzVs2n3TIO
9loQTVlRJraF9T7QXkI1X0h+wXSoxiHY9L2msC9XO2+FVfV1MZnWMN6ObBHEQ4/knJDsCC0yXnDP
LbPbz0IA5gVcY6fljmS4so4zVFjwZSdPBa6QzcYBN8PTbNo3RV3TqGnNb41mNQ9mQSKjMDnhB7qw
xr3Qpy1CeIgoEyISJeEOnycsz8Y4zAK8p6cQaJgV4PNL4T4qA0kfu1E2o6eTDxyQt7gUu+G4XzxW
fWpV0w0WlYE3oGoPTb1NkthZqQ4mEj3cGAJ3vMLCpW3F45LnT7mlf1SGXDelzTON8BBrsweCFi/s
TL5MMZehqXcRTZbnri0L/vh4F06p40P+WZdTf1MIgL10ej5TKUMMvnnr2RiBfDogIgRaUr/YbBeD
0IAUlyFtr/I2v+e4eIg7oDC1gCuvOtmBrN+6XpD0euelwaSxaoV9arG2LDE99QbwEqJcW/ZyfiHE
q+VGV3L3G0crL9jbL1Otejxji46ahdTW2OVxyYYz681NVn7LkErEAOayG8NtlYwSEWQii7BPTEgo
uyr8T489Hf/v7nkBM+ljd3krQlgalpr1PowekIQRDW3DfG8vDA1TlcN3b537sowORDVeFjc+5d50
a+iUuakZjJTG+xYW6q7wXD5GrGoG6NSiC2W6Z1rTaEwJpOT2D9o9H+Nnp2eXp4XVuU/s284zvnnL
3K5TZfxShRhOik4zfYQIqL1haa1yO/ZWbt9qgACm/Mucedcs470SzzV0zwFgIGV946a0vfcp7N+y
vPkSai3qoWOFQTeq6Hhz4zHWWIfa7cwvi+FuSc/HGGCGJr2rS+1rOIM0ibLlYamqo7FE71qp3Yhc
zLsi9JR1n+nnGHvRqqvjjkCUWwJt6r9XtbOshRNnrEpqGZprONiBJ61sz8FyYeWtH5rtcdGcQ69r
N4nQ9nHcX9uIQL86Gnt7Mc+TUA5Vwd8yyZqg7mN1ZS2KCW02CtK4ED7NXcG/l+zPS7Y8Iv/+yJdt
bTcVSbW/on7IL/3l3Pc0B3cYl+r/b6L4uZHAumeRY8a3CQbcxIX3n3Mf6gffBPsBruFg0z1cGT/v
2mwkyN3/+MOYDP7Zuf+5cPjDVdtV2cXZNnsRqmUxBf7x3CelURCXndvLTByVN4iOAs70WLopV5q4
vCQmzUyxE59tiypBYOO3DU/MaonUqxGa16wV3yu1pqZ1ivcEGQ+xo23gYhwzDGbKsNzkJdWupRaQ
zOV9ak4MDsZRBVCwMkRxxtm4CSPn2MXKppqVWwicD85cPllT77th891l899yAcvncp8h/saKItdw
xt5y48d2Hn309VuASGcxJwEdnOdJtoZ49nS0SW5bOBBAjTxYDd4j/kbrvB3fvaQ/hSya+9Z4NaJ8
O/T9TRnaXOq9w2A25zCOz17F/noxgTrUZ0GW0aggf076E3CXXaxRETvPKyWrLqmWgmbU1sBSg6Zb
glgdXryk+xLH4hSNsz/gKjBHeh1z+9zCnWZn3LWedBSOwo+FuFk89y0kHQju4ClNh73SecFgdUht
C6vENADJvLLr9g4MPNeQKblIYCl+ykBL7QerK3bL3F0Lt38v9YnCi/Ich81xsIsdYdMbakZ3ouFe
HNUfTlojvbOTCD0Y3ubViR2GLwKcvVOyGc7HUyYcZaXN8ELD7M2ozKtX236c0EZPi9ZFKP0x0otg
iYZ9S6Svc5Rr6gFtVsNHU/rYPIO6d4hjTcw2ADcLB7/a+E7RnBI3Jy8+NtNtDnAuqBL7zYF7tK2b
aevWFt0iU/2k63gPinF6L8mJRByvkdqsu9kbFza+bpvuUsx0e5iwbXoxlwXDWmrapbElE8MlTRv5
7U8UpMimlKqhGEBx62tW9fVNSarW72Szikar/GmyliEYZgyGwN65zJYR1BNjSa+6pm8zndg0TrVd
WjJ0oe4QNZVtLqUOpYuyYBKpNWuZXra+CNn/Eg4Y9zoqYRJzbgJe1dMqNBDTF9kcw1IDA0vUPaCC
YMezMQGlOcQPFxj/kn6MsoHGU/R7hUoamPgBU/Vl0a2NSWUNFscxyPCzmPTZcIM9sY5+Uka+7tTK
3hv+W6wqNaeuQSlOIstxKnYlsi0HKadnMqNBh8OfQGJtvkdsBVcqu7JV3TUigGVwxpcDDWFKv3kK
fn6yeIU/yKaeTHe/R7X3Ws76A4bw73z/GEsqtcOaCOndqIn9sxUH8FoCy0XwSlZDre1qCoIAX10G
CoO4kD6a0/whHJUGVPcGRZ9thSLWMCEfk0Vfe0XenOdwbDYwyHG6yGaiiooi2m3JR6AvrPV4gM1g
wn7BeP4MYI2fclN8UyoXyWEaKSPCMLZJs2kfKvk2BUzpe8uAKwsFIu+nS6I67+zk3ydzQJifCj63
jk1XDTlhJ86RaVoFJ5mOS5Gdf2Po27DSn/uGPQavKYQu5KdIdCthJ89zxJjuKebXJGwKoAisd0T/
rog26HSJCQ/VoCnDJwPmnD8jQi2wLn0TwA+FS7qPGRriTlvfx6NRBGpK1m1iX4VxK3wGXixgcYUO
ny9jg2bJBcsbeUSTbEaZ4bGENNHx7RkfhcqMO4SRnOdpCMzYDo1Fs0+SxeZ7G26YQy5TwRIC7jKe
EWM/xioTxvBYqupNP4Jih9kCQEBhOyUgs2WxejdG/cEq43ttZkNAoXxQEqNfueZoBPakHBNUH/AQ
2UMbm0wTRe0EuVOzuYnjrNy0YxfFvlKFJoQKOMkKWae9STERfhpzVarUZasLdjVQFMmq7ApwfELn
bjjf1kVHebA25bdJBaz931nkxyyCT+B/zyIreh/+shqNr/xlFOF6j5cT1Z8/Vg4Vv4wiIMQwJBAo
+5EH+F2CsH8DZov88LvT8/dJxP5N4xqMwc4mB4u14h8V0VA482cJwtMtDTou1g2EDvylfxxFOjFb
Fnqfgn+5oP+l2g9JSD1SbsMg0/oKnNa8UyB++kyytyrSMWt27NAjFSrj3FcBt1lCBWxra+yAPgNZ
tdLHOQyaxh2ppevex2J6BFv4WqvNaRbGnpeCe6yLvF2bsAPD2uAYa7eFhp0h6jGQ64h28Eu+2lpC
H7ndUVaj3nqgtFajG1rguFoKEZyPybSnTTrW9L/Tsa5RTbJkCzlThXG+8JpnU1CYkWg1MES2qmlU
s1iuFMCJrEA1pd2OmULJV2hAWxSgMxcwKgFKIgvKEb9qEE7ma50PynyLwdEdNtAHRpAclTRQE6hQ
a/QG6bT2MFNU0ntdSxf2IP3Y+Dh4nc3GepBe7UyatqV72ysxL0g/t1DTbz0Gb3yGtNtIz7fRn/Ph
Qe8o1kD/8QAEQ7bldnPnSLe4hm08lf7xySMXQQsOR2s1HOyw624atXxv9DhtAbvFlboGeEg7nF2Y
+m2TRbRvYrwKxhkyZIyy4HAa0vOoyua459KsHvEZVpd6maojRXSzrzjeunSQkqJ6X+bVudO6bdFK
+L1zM1nhM3ZmhtXMmElCpxtRmupeEzI7wN+bGu0JpoRd5Ss1Xwyf7+fJjfrkZkicaM1GGBaNFip+
yDv5Errqfe7miEC1gwvedg5mkfTcZscmAaGm6Pm6zW3bXmuje1r0+VbtsAGododFF088Dgz1LoIP
ETZtyZveuDSRt1EmHbKafWulzj6UDP0BrJi6dMHQR/e9W1wmb9jqkw4mROWMpzqiG/H1p5bYm0X6
ZDnVvVOBn6RlDRNHRFNSt5tEdF/jGWrH5A7u+HPSazttwkWQ5nHt26jEoN0ocRkAhaoay/zJmY92
WakHfuW89kX6PWUsG1q+N2WOLIIOI1B4nazKgsFxsV4h3KFnQd/rRX5aovBaWE29nxmIjoZi3iVi
fC+Vbl10963QNJ9L+m0Up0GNe6+sl5vW1kBEpyMMhHTbJe0OLwQOTpzQ1Ki8FiJifeJgEuzZUhhN
DUklYuGhYHpp5vHNC7VqrdJlsNgL0h81darLVDgeqk4JKjrkddd6py/DDggM3S1RfBk186lpx2Ns
aY95o2prVZ83Dc0kfpIp51D1tmlRAmzD80lW9n0IkVwQ5o9ehLDJ5u2Q5/xnmncYe9GvxrbYU69+
HCQSwiyW9TQZBhKcBSPBHXN9o9GW6duLUhbXGHeZToNE9JISGCmtVKzgRX8sSrfLkuGFqh/UpWHN
UmqbGu5r75anQuDaqSiaQ68Dvmrs2qh+nh1p9C0YqUYTOr8urq7WgE6YUHva1nhORLsfAT3kyhBi
EjNvDdgtbE5vdZyc/rwMJ2sYsa1a5TYs8ZZ6bb2LM2ebuNlTqmfHSO0eHKgsqxzYYR/LsqX8FGOQ
zFTxlBXmXZvwuyjq4atZSNW2PWFbopeyEPto1sSKbpRdrnMj8PQrH5KbStCsGLf9pQtZgDm4QgS2
q0JvQFmZ+Wbo1C9VPh7Awx1ouqIlalT2lJnsVGKcPXzoYhl3IzOYt2THyeu3fb7c9kPWg3ptTobR
Hqaaj6xLF2DR5Q8AlF8zkFNmY+176hM6s77B3k07Vvw4dMmd5Xb3pMFyHL3hZrBi1inue6bWwA9p
NlqKah/qWDb68qZcdJ4wbQQ4kh1oeHmdcuPOk5YyNiArrWpUP7XVrTkkm7KuLxZIwMRxP/6dTT5n
E7nJ+PvZ5EKjfUQQ9EcR7P7b//0/2u9f9XMuwbSJx0Tn39Nz8CNn8nMuoSEPsZzmOMIhlmXav0gk
Bt15jm3BkKDL5ROm//tgYvxmuLbNP/yxErWq/5PdCLnCPw0m2BoMYP3MTDhkAPczN/26G2lIXiSj
o4ZkzDTiJUueeb4GE/qgTI16KJ0Ob76izuLVTOMbbswvVJUvfu2kX42BFh1lxAKww89ZDOvGUNM9
ekm9ntKElR42z+qRhi6uEhD3uohjEpyyAv+Qu2NttG9cAJPvPRZ1OjVLC+G+Y19awlwt0ZE3Ma5Q
LqQ5TUh+3ppwtdsU5BQOQNog2TR2n711WVLTYZfKOrupbT8Ul+YrS1bdWUk4QDhFbHU1jHTSZ6cY
rMXBfZE7mAlLxPTm5ULjZK7wVqgYEMZbzViOMT17BLSPZpXvNfr3piRcfMtuQbDhCvCrjmZXvTPj
Y23aW7VWvqRoo9c6dA8kdBD9Zc1f5HXAkbuKkjhlzNazneJgrBWyLY24TH13UbLJ5QZNNGQ2GaoY
btYxnlcqTu0ezGVizO1HZvR3Sa7e4XcpLH/I+/KL0mTLyTDxtDX1Jqrt+Bmkv+/0lA12YQF4JoeK
V8Uf7LZTX6+ZCfTKXWEQZatiFHeKbY2b2kVFdxpYUi0rY8xz1AqCFyS/xxWfuTHQtTK+DNHI2oFx
c0Vp56aflOpqjwTnbPBC6tyuDE+Uq1rHZpIoJ0juGyQ2QnmiNh86jzY69gOrFv13gxclWbEQ8+kP
5ByvnfqFXA+eE03Bx0H6gwxAN7fp9pdHkXctLMDy12LGPwXgZX8JhUuWjXeCxSSenz9+sOnrGdWM
0vazrsbUEOej/kbDj+szptHP+O/77/NNZv7P999d/1YmXf4muv9+B8qv/PkOpFCE95VDdhqnue38
AQ6tofhit4LG8XnLYgf8cz1MN7UsAOHV5BCfs+xf1sPOb7zIeBhMgzuawxL5n7wDDeOPcAaZ8KZA
jm+Bdy0kalPlW//1Hai4ipG1hLEvArfFcsIgQpunZqqpvu77ggxT0gw4VXLrbJGsFdKgJaO2LZnb
QWPnx63q2OjtSz5XN3lXXhNSur2M6xppeOLVfwKzju+JRC+5lCigmQOGyviER/M7iuq0qga9IyZn
V7cWyWBQ8aCZFxLRIesSqHvAjPv01JMnpieT1iljKLV3nbA083CUE+8ZXG2PDt8mN3pm97gssJMu
K5XOadBDtUGUJFRUaojsod475Eu2jePd2DnB2nsj7LkahMWY8obwMOEe2zTpXtIxLAMBcVknM06o
2+8F9lFiX9xdPasDitlaNCp/qpdZ6QzLuvlUNYtPhTNH6xS2TFjl5ZMjZVBauLfupzCKQlqHVRg4
UjRNpXxK8fApkYKq3uGFwykEqYK9W4zqWoXc11BhlXbZ96iyg1P45TAyeJUBO8zjNFrU3tuUW6Pn
trl+xQX8VisVLXUIvlUvTkJKwA5aMPjEGqOddh2EsueNsS7D5uyiHutGuyqUcccMfDOiLkeozJFX
ngtUZ1G17yoqtIewpqNKZ94QxKjUIb00NtexVZPXdzk6tlMmQV6r2xF9u+1ZlE/jPkX3LhwbH5H7
5rndTS6FcQQsfZ16HyU3AhPl3EBBH6WSXqPCVt0pRGFnX/bSorhLoGKNAl+yoSCUCTtyXnnWcgYe
uutQ7BcaqwcUfJOrAL9Lv07HDcG4c8q2sEPxxxoLUrm/Sa10W9vqK11mG5cNQW3071HFykD+6iPH
uycxQQ2ItnXZLWhSYhVsG4QeB3OTnlubSy7biH5RHiy2Ezm5UmTzKqBEct+xv3AB3XnsMzxq0ocy
fwLU91CpMUO5sglr62iwB9HZh6jpkHMOa8eRTcnANwEpVIMCrR1Ddimuo/ltjBDPjkVJpsPIzqXq
GJfduf3eOvp18KZrK9czYTRYtw4bm8QeWd2E5mm29OLS0kyzL9hoUuCuVwY36IGflzU1F3Bmx1Hj
IyVklHHoFL+BMsXdzvs2R9OZaGhgFsbRSaLbqentYCLBOuS5ExhN80oknI+fYdMEg0+hAfKoGCFO
4/w0YgrbuIW4z8ZwbSjS7m326LvVgh6fYb82CpCoSkyTdj0oJcKvdqJH4mriqGa3Q8glnfiND6n3
Ja2VbUdfDmygalfHmeIrnZNuKBI5EXPZEtv0LQ95eMTRx6eD35auI3WI7guO9dkvze4AuaAFy9od
8oJrRZgdjYaFsyHpFJjbdT1BSyq+1mbBL2NRAhxZXGbDmR9Wz10+d/dVnxpBW6WAcyWYIVxYUymY
SCqV+UuPLaiXSX0skhwrWa/4hV499w7+P1yCg68Uy1nIFUSWfCNUB6TU1XfQB0m0JtjJy3S42qX+
2DO/KVa0cxWRb9h71T5hgJMFrhiZnjcAsJfa9+qS+aoJxQogb7NJxXysGnQN20gulEQ+DLZgeRNP
95GN0zNm6CilncHNQLHzo4mbgs0BVZMebAcoXyzETUsZjyRW8kNs0cD679n/4+xHo/z7u88dcbXi
L2xh0lz1+7mv/8Yxbf5NKYTFxcO1dSJpn5veX859qZK6XIA0Exy7/AN/roflSEAhGF4ydsRENf7R
3YfN8h/uPi7wNBAAnok/zXGxfuvIyb+e+zyjeZ2pKWhbw0J/s1weIcOwxdc2BWViZtNKlQZDJcRq
mGreY9hDPQulDdGynHcmgzt6XLwV8nLAexbLIt5Foaj7Di8jgmTkt9LeyPBAXTKeR9CXr/AoYIdI
P2TRNPtmYJeyJBejV/YFxkmWCCtNOimF9FQORD5WTufuSuyWy6gEDvbLfrQrv8KQydIt9PNkvOpG
z2IWzybdD+yLFY3EiXKvSF8naH7OKKyeUWgf8vQ5xwM6SjMoR8K1k/ZQ7Oi4KK0DsMp8nS60W0or
qVqbNEtgLgVzcVhwmw6lOLhd+K32KEnV7Vdd2lJNaVCNyvA0SstqpCsvIx7WTppZ27lCSMbfunTt
Y4LfNeJUkJe+xrfz/GHCEyukOZaig53sMZilbVbj7xDio02W+q2TxtohzJI18jcNl9J2W+K/DaUR
t3WLhxlnbifG10JadTM8u5PbbPtPE29RyJiZtnHx9zahdcl0DL+yqVtIC/C8eI+p7W0E3uBxiLeq
NAt3uIZLaR8e8BG7+IlHaSwecRgnMRjiQZqOGy97bKQNOcv6Zwtf8mg3ABGlUxnHMtD56Ejy7ezF
ZhyUuJp5WZM8w+fchR5d6zifdRzQqrRCu9JNONqCtmZ80mXk3EXhvIUHMK2LirxOpdOuYyjfJ7M+
LHa5sdmQ8u92ZYUSag6uS99I0iGq9nD/0vxITfa9fay0jKo4h00ez1NA/J9OMdF9FFqzS512aw94
DnvRRhv+w5MmmnVdCWxbGRabQenutKHdplb2Ys7a1otEtMLnfehoRPX7qjKDsizIU8bIkF22MXs4
PwvwhFmOVYzprp8t7an2IP6mRUgN2Gxs9ag6ZFQ75B6aVea1t2Y23qRxn/pxO59bj5+9GR76BRlS
+cTUi6hqn+KyJ27zibG3JdFer4n5U4stSfdq7TVX7u7g76l9wtagbjIlhkShhx8Eq76HFpzAGOJR
qcJedcrpsbPb9z6jAbmuqlsn8rbwUm81SIyuy5XasL2gnhyYuc5AAbLablyrP2u0xfOXq9eNwxRp
TOmu6icoyOR78Ic5C1DrrvDrpAh6vBSGPb+BygmaaXp1Qxfz9/zAL5ra7FTZz4lyLJt4y5G+LznB
benXT/PAI01IwfEmc6EcTC6eTXO5Mer+SWtaJsyZSpZi2gy0MK+MJGU0wfqIs2rlTc52JGBQ1AW/
kMeeW/M8CYhPeEtRNhMF3gTzeDBTuR4n3jOFNdmqa+PjUHMnX5rE20yFzdo2o1+vUalS9L52Iz46
9N95cnBxUCLHIvxkinQ/ttwZCh2eATFxfrcW1wixE137VbTDJZ3g0KfmvZpEmK5nvFtUwnDUlmuT
4rWViruN+cXbaJl6Z4nwe2PD6OVM3vde5OKxGHZa5Ey+0lg70yiolFsw2LBRTRNLzpTgLkxxGp3y
ANeKlATFYGbkvuS0vPQYx9mKoC6oW6ygWPWGJ1Wv9xLXDKDcWdNGzftvKilItKurIUiAJkt7MdWI
WG66k7tpIFzn0F7uGxgLjd7fhrq4wWGKe9ICROLNwbLoG9tuGey0PXyOISBvu/AWNjae1R/Uctm4
JV5Rb1agR6jvedjpK+j1rzSv0ZiG7WmvOdEXTfoSouhWW9yj586DvyxKsrHpTlcZRMBZADqqo3RN
O5b0rlgCssX0xcgVsq3zF1i2H/ASNmVR48To113rKhs6qmkVV/rL3Ndfesd9mBIR+4XFLWsqLA/t
Tc+fM4AzQVQPHylFOfGkPuai3FNGcIw9NhqiTa4C+UdP2g8rmqEm07lDqfumoYQn06hTYFf5yBt4
3ZXWbauEhFxkcY/dPk0No7ls9GGd59Dx7fo9ZT86noB4si5Amw9mz3QYUgsEfpJcBY5mVHI8utkj
sIgxCzSlZMJfIFW7FArlarLXLZlYkT1DE4VDJg6rYKYpIegoI/Jok9NkOxHjQhREFBZNsrkoNJoP
B3kd53J26hOSC2Ke6Dmqkqcq1Wk8069mxlpwqMzVRDWS5epBr3o3wMQunT3tF9mh1DrsAUpqlSbq
lbii3+eJnoGcoHgpx+3jzuNlkJ1M5uLeLbKlKRf0NbWyucmSHU7mZ5vTZ7FTocmSp1/mqb8QsHSs
8X+yrdvwNFS0DyRg1td/Sop1DXLF7BneRbsrVs/Q2740Pvgx33u7v3an6iZZV36/S47WFnT/jl74
G0ZreGM/hLR/cw86OtDfD7hf8rev39v/FrbkV/0+4MrcA3lTdqQWngOZ9fsp7uN/BB5lAudF9vpM
Df4+4Hq/Ab02JMIBCJ6myp6h/wy4jkbakB4aaM7ArP5RiS6n7H99ghxLkq4luVCX9N4/DrjDPJIm
Mp3x0lNthGEne6qG+epUAzWEXnRhMki/oh+Xq2Q27ono4qA3FBJczvihxOqGT6ZJwFZZVhGle2qZ
u5SzQCxJ2vC9jTjKptxpVxS7X002TqQRqnA7DkheBenouHbehZHc2cPyFJPy8vWcWLBemz5PeYHR
r+bAIwFZODJv7JWbJdfv+H8FY89j2RLGJdI8axQlYHjAnHnqM++BHmEMnFn0Le3ck9mGt6o5XeKo
21WOvPCzq9ZjVd2A4SLRbw5fJt2pIFfp9srR4ZZAg5dm6RWZDd9oOOIItHAxxuSlQQTaeD2vPAIW
7lrg5FwbWbi1YQyw5y3YCNTmfevRewNMSxjGWhBoB3EEPDop5v2ipabflzBdSJ0/Wt63Ao2r1SeZ
ZLvBt/ks1CVBoUHtMw16CsVMyMMeKLS0pvn7oGII0ZyNYygUuqjxY6SxwaC+zWd9T4sqZAqyXiTX
HEpqnLPM3jEqPVaK9S7EfIA5t1WyJbApS2k6bS/C7JYBrFxFln11+QmFmANWSkUfY56fW9O72on6
nk2LugJXjldc1RYGx/Gh0M2X1PXOLA4QfIbS3NRCg5E9OQctde+pEi5ZE6uPyZDmvCjpRDXCh3pq
zzXW7KhFnOny/LupxK/ToNzXWGWneLpy69+otvIslPQr+AOiJvgn/LaOsKRJm4He8TKf5ztV0BHZ
mN6JX9NxTJ2AhU8Qmh9aba1DXTbRimVTO1WHKEpJckxtRypNc5GzXVIHz0pZvRql/WLQaOtTM/lm
ipHPF2wmAOzwNQfOP23IvyE3PXktnjVTp88jt2+EPe8qu/82KCivemzcW9wcIvYaAEuaL5o69gg6
lPOSawMihdEsUGKaa2aDwY2k5GPa80NaSLqsLLIL6HH6tbfrtVcXVHwUrbemi6GGyzZGZ11Uj1P3
kjd7g2fupSAuW0mwZhyxLqETFwbBHN/OY+vtw4yNdOV0E8tbrIiqGE0go1oKOiPGtabUHwRGew9p
q+nx58dhOq/7ImuWh+EzGGMNk0tkJQIWdleGBjETJTIeEzNFeSRYoyIl4oPhfCxN1tYyfOPiynVK
bwuWg1yO5rrcNtv8JqlNZ11QagEj1HipBovbqAxk5DEfaUqGaagjbZgAePUVhuLI9aY7F17Sqorj
yxQv3+Riid4lN2B22agEinCzsPOatHBd2m4cgJjY5I5znkxzRQMpzRHuU0I8KXYtDBsEluy+3ycE
mFqVAmoCTXkiNmhqdMwSdarqjq0i4SczLqNzThwqM+07frraFvbTuUsJqxCc8ghQtYbJai4c3zvb
fKwq47lQHfCfhK7S3CAb1CwLbt7k0Ypxk5AWin3X0M6jTG2VMr+VxflRJdDFv9XhYQAKbnqLnCSp
L71R1q2RfczEwerUeayb5MTW8h0ht/LVwrnYXPlsUakrs4kNTCIj5Ko+Unw11N7VKb26BND45WGU
TAFJ9pnzUAzDyBOCUGqNbrxu3CjAo2EG5NygqZGBQLKDgsCj55CO6GJ938m4REJuAtYL2SHtBrPM
AXTpkf4wOjVk1CKn+5XKPoqwjaRgx+AAJjULDSsyKQ0lpm648pp00wsvgWejnksZ6hhkvEMn54Fz
5k2ZCy66y4MigyDaNH+lbD29m2HA+u047urOZFyfIUM4UfN1rOhUVFoi1CQ3HhLXZsavvyYLhnla
h4p7Mr47pdQfKFgq/BBo3ip3Qsq7cU9xmeK1Me6dog4RUATNhpwOdQ/qYST2WuR81rqCa/wqVyOl
pchEQgTZNnIDsb2O9pq+8171ouud0+cg8O9EJAeEv5+Irsnwve2Sb3/heJBf+HMo0szf0O1MJLyf
yt7PmQgvBFtAnQDmp0VTjks/l3107/HxQw+Ei2BKQ8J/ZiLjNxMut+uy5baAXlG+96dWvf/VsvfZ
VfBrJsQx0A6BhGIWRXskrPrHkSjWy8EahAHdqWqa2jkqOY1BXExNtSvUwDPT7OIJ3cgC+HXMIYk8
czRIQQ5PK3BhF5rfRVSNgkl5UvaWVRonAQoxGPWuPJCAKu44eMeLQLo5Slfr1z7qxxu9GLM7Uxvb
g1nh9vf7CWOinhDzN91wo6UtPVsOrXyvTC8E1pSBx6fFNsdchXNfwzmWl9b7wIr9QzGS5ap3diKo
OIItXc4aXkCX2EptNwG+Tp3zPC18gi3Zl6IQ4b0ODfMqaiWP71QEnqgDVaM1y55UPkHHFgsKRdSa
Q1yA/6FQBwqsBowrLfuf0a3mN+4ow21LVIV8HMxogpQL1+yzbddcXK2kSR8UXOwyWpk5DhhgKYuh
HWA/sgaaAUC+GHtzKPr1wtgbOAsRPjqJ3L6melfaPtSh9awDG6H2Lfw0hxTSJ6J+WkaURtpH5qQ0
DJpFu3Q/x8zNQbWY10XrBmenSxdKhR2lxyt4U9sEHk4WBYd7t0FEuC4pQuDcWiVeyZgP5ngqPBYP
yr93pB9WJukX+vs3ggyKrb635Vv77S+bN+VX//Ja0AwJ1JXNONYnou6X9wL7dxxNqsxpOyrP5M/3
gvUb1Ryw3C2H1tQf1oGfdyXjNxdClOvg8ZBmgH/m0Ka94k93JWpfMXrbXJh0S2Ur8ae7kjdZChqZ
EZ+VDLHAkp9Xd5lJHsrP8PD5ce6bvm1ZYSp8zElA8pEn6NGlD3OaEXL+fChK+XyUDT2vKuFOnpvp
8xESP56naGoWni54Y3gMVs2PJ8+Aqd4gYctHkoe/5fnsPx9Wt+/Bo1nwFdhwOapNMG1J74sKE7NJ
wlL380ylV1GjZgaEeRpv6jrHSYRjagcum/nMEs5jqQ2gbHGrDo81kVNICVa9zL5ZLlrOlhEtKUPF
+WJkQ83g3KQvilWjyHka0DqG5fDiqFpESM1NkxOgEarxinApIt9N7ND3Kh1OmVr4UCnFSVWc4uzY
5XAtkLXXLZWgpp845bATSmj5Im/cVx1k54Jq41ULdl1hTyvHTSwUWCrD/h9757Ucx7F03SdqRpuq
NrfjZ2BmABAEwJsOEATa+2r79N8q8kiH0lHoD/3XupKCJNxgujIrc++172k5YSYtqkgOZNwvb4Vt
6FGwmLtyPZuogO1dH8gUGpdw+qw6+oOjMMLxC+k2CQysF5W0lgWKlsG0SIm3LFm1x5xWnDzDop3x
o7MswYEBJP9srtto75lquevaIf3KFbS7C7zOA83mWuiwUHh9Lsb6NnC6Gretwat5KY1oMLdRp13c
UVj1zTG2rR42aWKnLxlStc9TgBcWbXjPTGsszSQ/mE5J3h+mrTA9NsjXp1PhEcj57o5+9M54x9v3
ygl3eRJXDfAAOyantANQarQenXHSPccss9tzYxgBly/1r3TpPycX47K/P7k2yXv0F3HBmsj0+6Hl
fjJ9C7ztT/KTRlT8cmhBlPADh1bCd38wL347tJxPaIq03+S/hpPfDi37ExYVFEjw5Ymc/4e2kr9S
bwoHapXjsBLFiWtqdecvyM2Ep76Lc+XcWL7LbUUSrhCpde/K7FQkvHnhTwyL1w4rYdb2tInLeXno
mUxEXJWuHfCYr1lMermCTGM2X1Mvt6wLUAawUumAZXzVDWVwLiq1nCKnz5Njo2b7M9ZeQx6tzsRp
FgRMoovQCU/Z7JrsfbIstR4SDx/9FcdV3r1hQ3THG1YJrcQghSfVLfN33OQwA8ukx6chGPDsTV2n
gx8lWzWzOorcxoqxLFw0tqGWny7CwxHoNbF5ZWt5ats0KSDAEhxUPAXNum1ate3NObmSahbXYbjU
rDnJx0S9BgmRW1fIxQ2n8rJG/9dfYlu+znP51cuiN5Q6xdYTAUsdV77Xqnh3g8pi1FM04jspiGvf
LNd2E43HcjHlTmVGT6BO5K4G20yS9Zj1FginEYoWs6Mny0jqTYAo5G1iM3HonNI+xkYYXxuZzdzL
ahngND0z6Lpu9kJvQduBx7rISlDQPlbRqWVfFjBH45dbb1w0i93YhQBTiyu/DwipClsPzYtcjplA
1ZrYZIAKtmlsiYpVGzHDdmY/RaeKQNMrs03tB5iNYwMF1nLILdTwdFl7TIrs3TrEElEIV5E4yGdB
KibOzGVYUW73lRVMq15NiLfa8TZz0IOYyC7WQS6nTStJaU6N2j5D4MoekAE796Xrlu+pKdpT0STl
E5RIpgJJQ7bokP6cjf97A9PaxL8/tW5eoSVwQpGHp+b/as71B/52amkEHrsBptKkiXMJ469+O7X4
K2INaHGIx0GY8Wur5X2inbI9TPuuiSTy1ysYekvTQ0Urrf8PUPCfFefIQQIb15202W149p8bLZb2
fVO4LFfM6tKSLjsz6fvlRfmLzQk/3y+LE63roFVkIi/5CfWM/U96Tnf0Mqf3+v7cifSUeF8M8xzI
O1RzVngZB/xW27//etxC/x9fUX9Hv5zDNl6lhIaqP6dMQtkcReBp5q6yGeBFVXc3tpV/GhRCCjdj
pNW5bPRJGWjCKZTM7JS3TaPS/TrZgX10Hbwnc1OLjdVVDIr8+FpWBC34drauW5MhZfYRTMazDq2q
YDGT+87UMo1aPfOENO/YMc6tHB5yESXRQWTuviOXeIdkxUExnlT7kFXZOmF8tfJaCOmcae2KyygP
MSTTPrn3QR0E0kF7kgzXRhPyW0oRkoZMOxuALWJG9OWOdyEsPjbCzqGqrMvATIsO/1iaeOqyNLqq
mCsjYXhsQeDDAf06LA4A0PgwADDbWgA5E0VyQO2f4kROq9itxp1Rtx34w/mm6r3lwWNfh8FZ0vw9
VNDkD25T0yaWzaFxY0PdLbXgD/qinapzHolrxayLxJuF5rVTy6bonQbHjH/tUn1Q211jgTtOGZUo
CG8NM7udF/fJytml68ZqRb7IriX7mfin77lRye0oxc1UixOD582Q1dcqHNmTzkfYwheT9QHyUXrO
+Xqcp+veb6uNWgpzHcnxqhvMpwbyohDYHItyeQRXHSGxnQmf78tLmSmocxyoS3YyyY9aTWgzkdQR
M9FMPiC6IWNGOOdbpBeP1FtMcIYZ7eyiBt7Ujwq+u01mCOCla/TGIHt8G80fXvfxLGL/vutba2XR
E6ziuN1ZdXEK8+TSl8bDODBRxb+0gjG79ZNg5RXquxdTayw3vbOjcRv0Rc8s19oArtyIdL5TfUU3
CgTJRSMwtsMOwcaG9TtDdXNTVRVrUXEpwgau9MReWeXZcD/N8T2jkyMbnI1f+8/sYdcTcs3PtWlg
b2XlXLKcYVKyh5pFhWcPIhDeMGB/N1kfl727aYSVrjnBjnaREk3kJFvXGNkkR5c4GW6ETOHGFbCa
5Db3SqDe4VXXVYeWzX23KFwkxi3sTSSOxpGD4m7GH4kBFPyBI8JdEzhfRNuxjTIKAjHYEZOsPB8y
oOLHNi93Ne546qdxyrrlM41/vJpzBVKgekgHYjjSgbd1SOfR+/Zr0KevqeffVE2OGDuFbYmjbSaI
Yiwo0oN/+HHM/Fv0xN+OHRkykCq3zl/b1/8te/pDfy971ieMHhbzABSjP5anv5Y9VHjMDhlMwoTV
DoTfmnX8Wb5wHSoegkNmR7/IDd1PtPeOHbg27xNMXP9o8shm9w9FgnKEzYDJp69VjXw1/U38WiQ8
K7LyvJUVccd4iViKaDqcpiYQfLOyp8g6jmG2yx1i6ouS+QBUkJcCT3CBd8/HUljhFfa4cqbSOC8G
6RrASdY5iVPXBJADbEnaLzOOYz+oGZ53iJ99Q22HOfvstiG8V7XAtNBm5Sr17qYIdBPB4mltbnPM
M9XGlwRrWSRsgQwdsDESuhWHMWguyaFUmiqGJxsQW9HClY7mjUVq1xJW2IpNgrx6l0gvg2yvicXp
ap5hsTGCl5tY8+uHwXwcdCYYC6pRh4SpQGRr90dwWCvfXB0lVutQsUbHixGq8QOEgSuhTN+CBFDJ
rOPI+oKk65yEMs6c8Jjr0DLwPtuqhEVram2v1CrfUOt9WW+UhJOljzTEuNe0KpgSdq5YGOkctNW4
4Nl0+89t0pB8gqSYqIFzrTXG+IavxcSWytH6YwTM/abUmuRRq5ODltc0a/qbuk5h485VvlsGY8/F
5iQRNxeInAPiPxgKsZZZRuvgaSX0jCR6QBodlcvtorXSvVZN92n7nGuhTF9pNGd9jasEEYzWWkcw
9g2tvq60DrvTiuxaa7Nz20XC495lWrXtaP22vUTbRiu6R6N6a7TGG8gLbDNihRB/V2YBEjU505Zc
OVodXiATbwbeM6EWjieuWvlaS24OBPcJxGldSeACcvOmcW48GYMRCiq08lqTnlnlJkOk3qbGJdOq
9YWb5kpqJXvvu/e2a98EdV5t23mY1kLr3u0fCnithc+1Kj7NTI/dU7jtoo4ZCcr5IS1vIhF+nbWm
Pjf8fdShspfK/CKQ3adO422sPMWCgCLfR5ofjda1hVR/QbLfIN1vtYa/0Gr+sHOPUZNYKwhO16rv
zknVNcZdVXn58j5PeXbwoKQEWf0FIT2yWoRmnebOlH1Wn1IVvFSZea9k+92vZ+6RuNqWaEc/hkNg
PAXK2LWmfVXl8W1SVacp7W5LYlWHMsvgIsU99bgfj24oPxbX6OnERkfskz70uHSXw/Jgu8tN1NDZ
WIh1d5HudkbH5euKPWSZ/aj7IaB6hAw5l1a+dLpfKvrgsaRSg0y+am1CDAol4Z44q6heLii3gPOA
SZllf8dhh1ZCbWyYqfABcdqFNGxOp66ZwiKM9dVVRUvnWd46nKOHhWU9uTJ0fbHu/+wWZbMoAO0H
kUUDpPtEh4YRxx4BALqHtHU3Wem+0uh555Q1dKFSd50F7Sfc+WdPlB8VbWmh+1Mck18WJgvSynTy
Dj2s1N2s2YbeCkrTN59B4DWw65tkYps7m+YFuSsPg9dYZ5Js3h3gzFtzGd/7DtFJ4U73xHfVR6cc
vlpVsWuE+Twn3g2aiF3QFfGmoGNe+6IT5OdETyWzN66v1HB/hihTbcy6vQQJUZFgFBbdxsgmvE0h
6m1IBTiQn6EFYfLRh9zEVx7WTiA+W6a097FEZLA0Vg1RIZ22jWHfTDwGF68K7mlID0D62XznA9D6
nLTgOrVWScU2VHpqw8+asL7tBN6D5jVu2LurmQU4uuct882PKHhLau++U859xmtCHbBAWZNCqXL/
Uih7Z8bIIMIhwwsVannNMjJiGNJ93DTAtNKcm4UCKcyn832WwFLiYpXRbYwrnrFjMlwJwyq3/ELn
g7Sn+6nEdV/U8YYQAWvT+wg/J/D29KzRcaogGhpMGeFRMuRiROt9hQGRHDmOV9EEHCdCU2nEzYOd
oIWBPAg2zO23E+SoVRB1b5mNmtnonD3zAAa6TXMTdUiUbbt+6OV0zVItXRtOs+9BOcusvh0rpLe1
NZ4jNd2bc7U1QmfeMZW/qprgYFjG+Dle5n439vZ7FkBvIqLxrog9FAeadvFvP/XTucEC5W+GCPFr
p/6qleKjfmmlHPg3SMdYhgSepvb+PkFw4OvTx7CUNbFMaof8f1opYX0iT5HWhvg+TJQ0Tb8vcYX5
CYaF42qM/n+2wv9giSt13OMvN3x9s2fjgyWMWz7TRuYJf2ylbP3F65zoaRMh5koKgFaWGL8Mngv0
uzHOdcydljfyTZbbE0JhSNME8rDQgX2GLOadM/EGGcVnLieIxa3G16FiiFqjZQWu7ODnPZqTcEu8
2GGkaBUA6FcjmFvHsV46qcj+42LgTPG2m3jGvfRmVv07FoftiGtRGeAvZ6u+aSbxxtJrH82IKZwO
Dyj6mP6Q1u2hDQK09RE6frlbbGjaDopxSw7Xrl09egwpRjvu13Mrkn282K95ixrPNJ+B8MmdF4b9
um6Ked8CH10zpI4JN+tOgAXJAiGdSNnGIXDSbRanD1CB6zW4j3E71NNdCUxn1fn1DqcjCFK+uSsH
9+168cdlgzC3XBlIVQIn/06EYL2fkeaukojD3JjDzyTwfOR1P23McjQgX6U3mcCsnzBxJIGvztdI
/uTam7B+eLO/ZSt+iqUqN9GYP1JeDcaCmEr96i7GQrMq/eDEbgpSm1Q3QWl/bqilNMV3TCaMbb9A
IpqLEdSW/2EZaPcMu7wj9rZYYR16SVMLr2eN9jqsyGdFvLOeXefzUiQvWdlsxpyqAinEQ+SSXNOJ
X6WN+QEn2D2kywQrJOnnbdwRyGaFzl2v4qc45fuPcLWwZNO5HbWgp60IDygdARUGEGSaQTDMN2OE
AyPpcLoriw404euYU7eaw6BcVSVxznNxP7Uw/Su/5nrr9PsoItOwKdW8UjN045EotTWinoBTORP7
ourPVeU/SSvk997RDFpTg++ofrH65Bqt8XWbBMnRiCwfBgGlS9ikBAbdTFQ0QUjEStf70KlumXFf
N2zSjrkBhCzqEvyW1QuZ1MmuyTXmNmk3E+ond+QbHQc4P1Y+HBrLvNh2t67lqEfTjNWj/tiV9WNv
DPuqK6GKVDsQUEBli6RbR90QIK4Z6SHymEuGOTzjKXjvBniY6bTHr0fMVNnkq9KtzsTwPMnZu1QM
jdY4Zx/8LN8p89Qst2q4CdHBz2ZwjKbybMnyYg/hIZfL2ejxZAwzCCHWGqu+p8Gs4oVWlyuTm5JR
ZxRJuHYN0lFJGOMl55OWhazXWM0K+nTGB4U5fMTZlG2mwvF0OgSPatZ9m+DAYbUFFzn1x8poUJX2
QbC3SnmMrUZuFtA4lC4GPCu/DKa9QWjZVk5OuCazEmet4dMhwaGKphjQdpilIP4ENiYldn2cfa+c
4Znt7huIq3RbdWj3Ime8zD1XBcbtAPQUCn6Oo8FZy760MVVEubri7NF5qDWVfWpgKpaFOsqSsQe2
aJYRj4QP+P4+xqG774nL4llqSgIKPVTwW78nEmPrl4aYVs3AmuiABQ7lROvIJbkF5jP3D4FZWOph
DFrDueqnvroaJcioZ6JY7eGcqfpQRfQfdcq8qRKZwF0go1VD/KLVRvcd3C5sJ9NJiLLftUYL1NJw
rySZyhsuuIKwRvcNB0XH+MpFZJmK58wg2jUm7nllmYt7cirezFnpZyv+OagLWX2tQ/EKSQs9vp8S
/bQQQRTE9F5wtWiYR6KVTZAjrcI2O2fTzUyC0JQE6Y7rx40o2zsj7K8Kv/pKBwyVyFmPE+C/josr
zTFh6Z0zneL5KE2knySpvSYZ3ArNWlM26Yxc870Va/UH005vwy64NtL5JY/tj8Uy+SyR/MiGArIg
+WHLyZ4ntHGyJRm0vc/0Jd2MUcxOmwm+UuzdmFmOYmiqXsdoOcYwfuDCT+66gcKz4s1463pakyuD
aGsaxh2jC3szenJhbNjfLObMjHUK17wK9cEruXV0lan25HBztsN/9rD0wT2HJVuGxmeVbRYZPdkt
SzFfpOEmNoiI97Ng5IuDYdTiRmcJ4GJOGtM+Eu42+gxGi6nGq1+N17Wv7JXvA8aMLO+cjOUNvR5I
Dlx0QZmgpusOUa9e3WCct8SxPsy50WzZ8+ek0VJAwEA9hj3Rsv1YPjGHOKUGEWJevzz3TRDveOoE
7wHsiqxFjXVbqfcuCB45oHdmnV9nRawT/ZyDk1aPANj3RoLzh1SKYzM6lwGcaSCrbwmFbsWO81aY
6kpInjsEyCFcXquFtt0eI2OgJKgxWsHXg5CQZcdAzv5qiHBn+naz72QyrhPRnbOkv9CJ7EpbfRkK
CJ4ZzjfR27wBezFtMxNYjWn5DXfC0NsTvRqvPdr7jZsN+9IwrL3LreeoeEHXbFfPZt2lKyx7JyLm
WhDi3Bq66TEHP7adK4ogRxaW9SXaG6N1lZeBu55H9NaIjvKryLIvroU90uhYp6rSLPCekCkwENKJ
gLgJ16mHOkokl7hPWVSQVAjNFwFlEnLAyfGwFDaPhPQvNltCuK3Ilt1qeiur6MmRzbkrvbdFOG+T
a+7qjmThLHomvdQlUi85hkX9bFb+wRHtw8iY2EmJV7PnbG3meHba8VUb6XrPfg8yFrx9cgd+G/2p
Mh9KoQ9xQ6KGbeN/2+6figP5t2NMpkno/eb/HWHqD/u977Y/4W3GVcvIm7njH7LMnU8IFuVPSgoS
hf823Sy7As+zBHJGLCCspn4TGwSf+HMTjZRFD2hicv4nykl0Pf/TdEuwwNq2wn/4VvQS7JclFwVl
chviqy6lVQtx09k9w65Z53WydZpHO+BsHAa0Ql79xpzp61KRO4d774HsREqw920e2NbXfXRomfM1
dVIi7pb5phferakIpwQ3QPJFjfY6rCBtYE2Ld3aNXRGc3q1hhJnm+Ko1fItzN6vvhg6mksH4XYD8
2MaEMPYBtsDKT64mAT/FCdIbo24urVnJTRU7C9hYl7DJkL/z5hbkLtbhtm+/DYnaLUVGIITtfzMm
axfjQYEgHB08T92WzLrw/Oo49mZ8IdzoMVdzvk4z68GR6jlCPLLHquFDW3Dcc5Rwq6XjBKIhs3Zr
zdGrRwY2hxPSbB8TLCm850o/Xhx3D+ysmhWgq7vJNk+FKd+FKvYOT2YnkiuhH9XWIFSIZxfrCf86
OBRm+4yt5lhNdDo4YZ4rnvog/eaMzDs4CDh331q7O7dL8iQ5KDLhFxvkbpwd0r2QPsW8iGOliHE3
pMqgRTUILmFI+UD48C0q0dvlx6lkJjZoB04q2fjFMbW6ZiX1OTaa4mLIMb9qdLa5NGKkcOQQpjE3
r1SfhE0Eh6/pza3PIel2xske0YMiPT/5FW2BGRTnehYBxb3xj21d2nvOdKQJnL+tdjLWMKP2mRe3
m1Sf0+4QTlupz27mmJzTsw1ecPwScrzjAri4Zs8euQSWbgTNvqXBnWwbEw7FwSbxipAX6gWpTxDA
KCGFIYlFso1wz4MWrkf4nsgRb2NdeSbVfkuN9h6Q8gWP/DFKqVGune4xTDwWShwCayoJb3EfVaob
9OhLR5lzdb3LFlg/UtfAQVdDn7JYplAgEdSeCD99MnTlzLvx0dC1lA9Fpqfrq6MLrWED9bRxEFhW
9VF0bKWSqr7B+HfOBPRENU8Ubip4D+1nO+mi7o3o74y09aFRJsBAqf2j6rk5OO30qsI63ZgdknlH
NwtOlj71SPHz5NFRCIV93VbwrG2EbjR85al9iTtlJUf4ipNlh2sHqiYGEHot1PZFSiL1QveChCPe
zmUDlYbOJtFBvMRuuHDKdNtD/xPSB2VTY+r32oNwTsb8kZnoUQx6J0wsW0c3U3FMbCpAVGD9H6bu
uGpPfLSL+RLQipljfltjA7J1j8YSL966M9DxuWju4757zQVJJMl8RCJ4En2AffNHzzcxkCSpgtyv
+cPu2q+R0V+NlbrLaRcVWY/EoKnNQiPpBIymLd1bSt1lplgMAMLQebZKfdQ6vTafRht7ifeaNO1X
BFcmLRn3flv3sMg43ZMipHvVScNn68KexQoaxKBtRzKm+6YYjbBItZMNB/JVp3vlqOv7XbwMJ6X7
aJuG2o2nV/zNWOt1r62ajrAu3X93ojm4BYtPoAvIbaYHJRvsvGm5zad4JPNPozhL2fLQVTwSvou1
BCZENYW3lfZkiT6cCCyKHsJQnKs6eAhCcXCm2V+73GQwm+X3YV3fRpHV7CLl58/tSKBrOLLeB77F
/Vk/2DJ9QoOrcKWN2Y5jlYgAO/42lRX+epHshrE8caDfz6Li3sjqZUMBuKvFQMyxlJuBsdA+xgy+
HjqHtDm3+kxs0SkOXbHOmpwUhOEukVhDbLr+MHFA91ctbKMo52OH4UHi5TosZf+NhQf9bN2GK7u0
YyJ0GoOIO+MjEEwnkCIlez8w7sq5+uY6PNtNTv4qOxCsclMEYjBcylsT388Kff8z0ljdYdNEFzN+
JMcmrowkT53wYu9lXZq7lCTBXa6qb/hdnnASiTXkqx3GHMKe+ZWvKHftenQcoLkTW3giHXlNh8Q9
MlFBRyqK1QyJnodG4qURw2M8Z3cjNXGttDUtkXSOKKUiMKczbzffyzZ9qrvJnBii2lgA4QuGR+Ti
sjXCcxeZI5OOjPwDxXSHAGhZyQtU5feJ0TEarfTZZQaAuh6gutuX15YD3Yc7xQ31HymtVx5Myzqq
vG7XYrb7beab1TPb6fzYLc2jY/Pgk/b+ZIDjR170fWzyXRCmjxR7k4hmBgfU/2OXRGe0ZJ9BmR4c
oxtJ0B4mjXxCRyzGQ0gStVfORHsPABFAfpA963lvyVQZm6KtonVT1cturvx7KyyarZQx1PRlKrd1
jVAZK1F4NNv51TV4M6h4sHcAQPABMSTxQ+OURNErUa+bCLADO/WayAM83KVXX6qM3XsVmBExefKt
Bvi7IxPgRZig7dPGvZi9+6US7j6sdaxT5Hyk5uhxxuLisO023vpTiZPMg1+kXMK2zWrm7Zci87OS
mYygxXpxu+GW1WSyRVuCko5M7k08O6TLePCvXCN9NUkFB1APRiMJUzZj5FoPGKuEavfzQmpB70jS
E8zskDLfXuNYo94pxvKNTWJQlbb5lgnpd3ICubD7UbtjL2iuK3xem8qEi59xcZwN9wnsg7WKIjTT
RWN8jtvxkXEhTo8kWFdjft13FoP53sdC1VUNZsj4QblkN4A/Ovaw/deFGTxyY79EOZRrdkFAoGqD
TAWuNWsHEM0UGfmGBd3RoHPS0nETYkH3rY4KbZjlscf6weQeoQ2Rj3rAM7I7MWr3wzUByzg+RaBg
XZIFGZxJ1jB2br8Nc3sVUMlXsyffMGbskYqDy44sUjQdIqeWAeOvmz1FRQH3f2rttQ/GKTUK2DTf
TD+6pjEg9ksQmGz16amWLWOJPgXfmAC7bVAosu14iVCnE6WRfrZaLklore69gimQDRBXBOPTRM+1
cuOFsKi6KreNcqI1WzIWalnDjyPISvHHVmzhmVz5TXXx/VnDY8g757n7IMmSKz6Eni0Tzx0+mOd6
4NGNW+sOU5mmazk3jpsoTUVuVywPHxgsSIQqZAyTQcg53ZY3k2iJEHDJhfLVG4gP8DqJemomPEZF
bz4uRItOc/7ZJrB+M3YcqZ6Jr4dxnA94gLsX+SdV3l/XXbsrTRCh4OcgfdUmOYtu+h7QG8cDDj6i
4t+Xoj0tASBN0r6Ptl0+IwfeKC99rAeWTh1dnpdx9MUN78w4GD0EBAnfZO/tzan9cGNaOq+aUP3T
8w0pUDEIQfDyjmHIfCErX0M/+5aq/ixEg5pYWZsIJgmxIFRKpznMjXc/xdZ2kliVw6Z6mDo4oiLg
Um5sGjO9KBY2cwLaa3bQ6IbaNj5co9Y69km9zqU5EJqQWkRjR56d3eXl4j7PBKj4t40BfuIul6oe
NrPeSsnaOP27+vm5+uFS9jern+S9/UsVDR/1+xVUMw1w6hCMIMGU/ClIgUkDwU0OjAKup7+oaIJP
GHSIOsdBE2j73h9uoXwSBJ8eAkNbaO3NP1j92ELfMn818AEEsz2Endw/wSQEP1ZDv9xCFycuYrtK
zLPjYy0NiyXdutbXKvqOb24h5XHVkvGW6LC3hBi867Hmz1uM8y6JcD3QXJeEuJykOLYBa1NHx3VZ
/Fy2co8b8N4pfUA3SBs678XS+YU56XMLKXRKeh1TdSRmdtRjeS8/E6Dc0ECa+bppELeYSf2Ce415
n30lZ4xx5N0tMdo68u942GHbTYp1CIvZiYi8bEkOHTLYVUp6Hhycwwgul2gVpTWSL7DdHxfy9oK0
ecbNWKwykvgMJm9N23/JCCrApid3bWDsFrL7koA9Bz/Zvg7A9THeRy6BJ9vh8V15ZP+phDPOYFAW
lWLvkQ7YdlzSZ/ICm5HlWA2z/rjoMMExFFepmVfrdDQO2KDpZyE9YN6Z95WYjvaPTEL3fqz7e5hc
7WNOamGu4wvdxj9F5BkyCLii4UBGb043kY48HCPP2EpSENVgpACA+yshuiPqeqg7JCbO1veO/MQo
7B9n9Ee0F0Qrsov6mpk413N0KDnpi45H+Qmk9fjDKMUFlGKEkk/p0EYIF+7WnOZD2s173x+3NY1V
3/GaRTrycfwZ/5hhf2pv1QSrZht6abVXEh3GlaqSebWI2lTHykfPpDzAP5atYDU3ldmyO0gEVqKu
Y1vzmg8NTE8lbcWcEGbkakKbIDQHsd3MOcyviAU9o1vwBX0DLaNy3sq4bVaoouyNAxOBLqTi/0Zz
My7dmxv2KASy5oNrucv6CKUL4tWVpz3MkczuvaUG7OB4t0ZMy6nsms+BBawy4ud8Ei+lP4F8moaH
us9icnJAVopGfk/r7oOx9fui0CEOXv4lcgVvBXIKzGFCvNQxSCiNZAs4wNniPaDe0984QXYQcfvi
Z1LtHEPkWxn6L7PuXGrhphjZxu/ITHVeCQn3c8HuCi6wvzZBgd7kkXEbveQDtT46laQuianbyIL3
C3IimS1Xblnu06q+GxyukOxlHmuRwKIlnjlnpoLtAqmB6T6F2hwi+RPfGp+ipblLwnw9C6ODxfZS
SklG2AzZFe/dkmz4VMD56KYNtMAr12UtZMQdmPAJtMboopmNm/t+rqJjFscaoXa7tPVpKusP7MeE
DpCdZO6aOWvf/q0rP+sKCoC/qStV/lr+hSlB8FG/1xUCAQPHQmLJTORPdYWpJ5oCTEwuTiZfl5zf
1Jk+fqnAYmvAae6QNEjJ+W26CQzSYR1ArRLcLxwKxT+oK5av1Zd/qCvYtbSblGRCWNPYKf843WRM
lrbsCOazz+XvglaxuCfXxnuucmGf5jHLXmZLeTtfDeYNoqQQYc4Qb1jZL1+8YFQPsVnle7gYyRXH
W7j1DNWSsNZw74CzlutY7MGxwmspmQHipeHjB7wbm34BN0My63QwWIhPNgCITsXqYNVORi6XybNT
krhtzkAh2rqbvhZxHJ0QxC8rYah0Y5cmKHzfrxELzF8Cu1kTWfw6h4UH1sTyd6oyxqsyqwj1rMZp
TehxCLbHPOOQqFgKZyC03CZbocInQwyobBU4inj2dNH7ojR9r2drFHeqLDbAMSKdtfcST1GI9nMg
iwT9HIH3elLBvG0JgMZQvS+RFT2b2UyKp9PuRF3eSWIotty0jb1yowWKRO+c4hhSW45u0zKa7ogb
INhgLxL7LC/FdiAE+eBa1CmmJdmpKWqsBtVwt7QgxeockhyR9MvKkJiQMm7GdhTcpg7N/zDz6hi9
Ed8n0CY3RWJZ566z0Xd4Y31s4u5E5uFXSv0EDIi5F56FdGtFpG9EzaIAZvILY43TbnIjM3ehax1S
YXApayOiSIZ9obJQB5HVr0MVpTeTEu9kJRKTZkZgwKXpb0YEJfgfHmDx3AFLclbZNO3tIf9i/4C1
iIDre2vn56GxLpXtfzGjjsRcBro1OtbJVhKPG7gb0uc41phvkzkWARFiwe2VxVXnWO9SVv2uc8eH
IcZj2rGt0/G5KPIK8wzh8FAW1X5w5HU6BTf1aO5jCzPCkkfW2g3dC5Vmt0TJuVgSRj0K6JGgf1/k
fCNZL9eZ8UiPl29QSRB9xM1p6cOvhd0yX2Z2EIA+J6t5T0DuIzhMnfVWM3DXGCf1I3G9yVDOrW3N
UBWapkqEBWDVsJqug7GseSqKJLu2AAT0eihVneogdDae1U7XEaOz47+H8c/DmLPrbw5jWLN/BS4T
fNQvh7GwhPXrPul3fZdF9gizS/JFLK15/+Uw1uAy+nfcrpzRbKk4Iv97GHMC4xtjcmtB8fD+EZkX
AO//HsYCBBocYExn2NTYd/26ahoY/SHjCuYz141uZxp5ue2EydQmc4hOpclMJ4nmQbIckWFZ34xj
/0D3uZd+hgmkXWj+Y1NeTyWjW7z2qMc7cRIgJdb57HQ721LBLZaj6jANTX1nC8TnrlDGFXlFcg97
9jkA6LU2pPlWIjrFT7PcFUkFFfv/2DuznjiWNA3/laO5T5T7MtK01LUXWwHGBnyTKqCc+77nr58n
wJyDcdnTZwqNGKnrptUHE1UVZER88X7v0mXxTMoxMtc8azMC403TrBXUAysCt++o923WfBPQk04T
9TLSpHjdJkhhEpRecukbK8nqSSjR3GqtRE2KdbqZGtMgj650xd51UfGJ6ECC2wiCLDHNWodwCo49
J8ZutXbyDSDXV1VVrxzsRicuPq4IADs4QSRfCqKn2zlnss7UaGQH9V57KUfjl6TJP3OVOAn86isa
nGWYJ3zYsVOn5Mae6gbp4Q1muGNuP44ODmkDrZmprbYng5VlU1RedOaamnQkouAcAj0jH/TWsDPW
dcU5V5whVrgNA7zaLS13MR5JSuRTw/0YqOfcIPg/dPgDItgpGLXCvqg0myuF1AhvTF84ssldOy2Q
UNlKOS/zbKla/UJ2uqUKEaARFqLluBttG9tFqz1Je3o4VmkRbl5BhE+bKgf/xfCktLscSBagrFP1
m5ycr0aiuC30fN72Kimbw861zDnc1Hqqup5Q/35rLC+bWZGRzmp9zBaKXMewi9ULtxywjDMx5oLq
D19t3Nr0uyYK1D7O14ywAR2jL1hO6xaOQRhml42c4Phgck7ZMTtssTBikGNfS5eNYuIC4d3gAeZM
6qTCKK2OZ61Ec8uGcUD3AklgEHkIJIZRXllxirFjUrGvehjpBoXzBeeACyJtCszdzBO3s7lwFFU/
4xKzpS7wcGrLtlZPI6bqpWBWSe64cmsse7s6imgw6PDH1Uae4PKWwwHz9IlXe58s1+KZgrW8UpPk
rGaPnjYpDm5uP0q4dZHeRcl1gmXnpan4d6mluZO0T+y5UZmniamuaF7juu45mz6t6G5JKtQ/nxwK
grkmZg6sanR0fcO432QY5UAJIcGzix6w0LwJE+0+H7qLUIdMqHjJjqb3eal6YK6dfU7ImzwPbRtR
YpW2p85QXWi59hiKWwOh4istHu670Dnv1fRTkMbhNDFGDNVq2jV4y+PgG4aLXJBiate8AyBF2gb4
hhHuLhxbcCvVXY5Nh0IhlkwgdeFK6wk7OQ/5hxfEcymPbtIuu8EAh65hq29LOfyamg1pWnVWYyTs
5oLtfdZk9pewlE4Urz22nUTmGmrMTZ+WXyZQ4KyZYk2Df6Ej3SFpX3LtPM1KLLc6C0jd96zbeqTe
ijzNWbU5njZV4iSrTuHBQ96gb9QoswHSoHI9/vtYfDoWDU6RXx+L1zt/u8+wXvzWq2ORywROmSJf
y8Lg7g3tmZsLtg2olsVt4+WOArdZN8C3bNjQZNIYwgvr5VgEFiP9nEuK83RF+XveVYaCFu3HOwqa
bkNgaUJBjbr7De0ZA05NjvkYm9bxo2oWaqR6GjKRzql03MQeulqdpCrBk3LbZt13gzLBCpd8x9Y5
ro3InOZAewsvHK5tKYOVH/I4pkoA6cJM5mGTP3hqzyM71mgql2SMNtJMk5ovFekiVwPB3kuzNN1T
Xx9QIvXWzCxUbZpbbXnGQd5MDPqFJDMq97VbfZOxnVvlXcq6DokYNbMqmkN8uxqU/hKylXlZcN9H
69TZMzlOMfy0TXBlB4KV1zg4tThslgmfyu4jYkUbaaWEljsPidKc2E3wqKRqz5knjBFr0iUwGIaN
gDoGv0AtwgPbTZWNq4bZpG9S/hshiSuLkOxJztuPQUz+MPwX3iUgkQpSDZxJQQfTOgAntHKZD1ag
ruqSM43CdlsDeJ+YHgs/q1sD8lZ4lRmVSOw5aSWZXqOJdSoH4LAcffIo4JRAzoRVVmIiNicw+HM+
Vp+csiTbQ7bXRjFelF00zODL36BzesjK7LxQDGtSKj59A+MCz59rrwXZ7ygDWpLVy1xfy41zZuAE
McMZwySyW7cQEGW3YRcfk05+14c1QdaO9K33bH/a1M4iiNuvRurs8tQq1oqOUiNMCYwkxCejDYe3
t+Z7/mkQkNEeFVWANw8dkSH8glQrwd4MjA7TsX7OvZQGEu7Xk7Gqbsy2urNN6M2YZ84jL6An6AWw
NuLiSwaOtEhktEK9bXqzSu6vM/708RPnNWhxB8F0CC0x+uqppzcXuSDJyoIuS8H2oOf1LTeaR6w6
9YWrKY+5oNj6gmybuipCc+i3HlFDC1NQcsei8nh7tV82MjCw/MTdDQSNN9e1tSSIvR43+qlmZywE
WL8D7F8dFrAm6MAOzda5ElZ0Y83qGzcTk087JFPWfj7NBaUYh0IaSS4iaVpvUDpZIzAcYgylISO7
cJU0QU/u4Cl7LYRl3+43GgxmFSYzxuMbM7LXEgznRl0nCVXZmcOYlV5/ygUZ2oQVHSXmjQUXBro6
R4IWDjM37JcR2aMyDbcqrW8tQbHOoKVMsjDHQ9RyymmGc9KkDtNFFuVnqtos4Yt8ruBsR4V3WuMK
v1Jgcwcq3uGwu/E/BQIGEZ6Ufb9JYpWYHTm+8yGHGybsdNp71josrFPVgdMBkTwWjHKkoyq9yGik
nIFv7vkwz6GfB+sGMroKKV2BnB4Llrot+OomxHXdMm6astqogtHuAzbMesFyp/NrzErBfOe4Q4jZ
1Es65jSZzRHjdwCWznRvRsGcL/IGB1XI9KNg1UNL7KlRYsKOo7U7lrtCsPCx7BYSUXXFXXukGQdX
32Fapy30fRUaf90RE6AJZn8bVvosaktzFUH7h9R2oiMDCGCfYL2FMiBGIiAjFRiRDLgQ9qelUBEU
dSxhXaBcYfpzp7jQFDwtvVSF9gD7doDDZkkG0gCV33bxrG0vSwQLLsKF1q+AV4WSATuDQGgbXCu5
jBE79FYgHfvIHwKhg5Dr/thEGNF6MVoAStJpWFDXmykBgbFQUoyyfzYKbQUJyf1MKuNv3uheYyaG
Vk4Rti5Ck9H74WOZ47WewYeQhW4DyIVSXmg5Ok8aVzXyDksQUMdivByE8kMSGpDI8T71SOkbIQ5B
JOI4SQs4Ux5jBUIZrfg07oWmROvMZhqbOAtgWXCbgJPWnryl3gyAJ9Ck2IhTKIY+q4hVRpJ8J6ka
zPVWX5TIWdrMPgmQt4SYb65GHqJpNxJCRitnOVjKA66xZ4bHnt0jkzGBgwul3KFxOKuR0YzQ7S2h
q6mGZqojtMnsdOZGdDF6JDhuRGmMJEf26gWck5Ussx8JzY4VwHgm+iSe9oN1jX/F2agbu6hmoww0
M8O71FqxuPtJjRxI0TpyIitnUzrwdVUkQzHPLSU7FhqWoLq2qjRhoV3CaiAMQBD3ZBh8nJ3lPAv8
ZiL50PtkQfSzBeVPIsBuWVblbQAb0EixMwIO+6xY9V0oCIMl+wJwHo8GnEiFHURB7GPf05rpl6VT
kh2R3ZdhQWvfzh4rwUt0QgUkXXAVCfs1Zi70Rc48Elb4WZf7J7VgONLMwHofzqOTNI+uQIlkq3jU
/HQThg5J3oIpWeMfpAjupC5YlI7gU3rAVRNXcCxZZcXUtY1z35JZZYKJKQXZIoOaORggYBb7pOBs
dpA3B8HiDKTwK47dDwZ1Mw24ZOm60ZI6gr+B235SjFyBDUHkxihZ67z2OYpTWDE0byxU49jNmZJS
bdCUz7whgRcWZQShdZvewvyhkuj940WLKVz+zZZS2PK6c9dlBJ9JBcxShLiYVBkGOQrSrVw07iWt
/zN288pxz3QCXPyAfKcp5EB7LeMRXkCJijPfnJSBTIMoJH5nhO3tFP7pv+vo5zqasvI3dXSDE8OO
mvmNAZHBb73U0Ri9Otim0VdS2V2fKuIXeElxjujd4kdK5qyJteNf8kHNPIJUJwjLhvyiLHypo40j
0RbAOQhHI8zzcX34G1j/z/ASb+yQ38hnAASD0fwGXiLiTy6ASZtz/MfZjILmazmw8RDsYxGbGM+G
MhaCrGA6ZO5ZALAwM5SumpZpe5FU2dpyXAkeoIpFe1tw3w5OIO+fDRYQPbk8n2Q5emwhGk6lrIWa
JOEG4nbqWTbS73Vl05smVb5Je/mGvfGrWum3TkEare071D0im8SRxkWsS9K86Hy6hrisWfgbT8hi
/YIXw9d8yD63PvTcrAb6cE3zS4ndadqnN7Uj3bjpcOKb1gbXlLM28k/pcX6tMhvqpGNdlJqBA7tn
zxO+GMYm2IDRlDxulOwuGeQB00QNAWQN7biIuxV13+dBzcs5DrYLXcdaRQ0xwdY7iqFIsh8Ln7xr
OzZPqzq+7qBJT22i143IvsoC55FL7AVN1gFnbGisshfWc7frzu28pTeQPgBQ3LmFuiFW5QFKPIYq
UenNm7Rjt7aSCy93VuBVEz30vsZq3c7z2M5nHXb8bIPZQ6c46C6IHE8GfHNywu9mAznfCxZ7OcUc
5LSu6Bro7in8wtnIiQQfrVvIZQeU5qw81bgiYfwbXug7KymvtcBDQzfeJt6YzChIzylfp45c0r/u
iD9SZQi/al+YlxS/Z77TfyMDMZuRqYnHgitPmzKsJoms3uiecaXXA1ZtQXSte+q3RjVbMoDErxtw
QXGtvE2I0KkyAlRMw4S/1gQzLkohl634Dh+naKHmzbnqGzKIEPgMzAJjItOBMMdoIVs5vVhbXha1
TyJLlNPrzPmrIRrvpjS1INJTQRWjvTCDCielCnoaDLxjqO2EjhL2ByQzXlkxeSEpyZDQoYg2cQVZ
mlsQxQmRJ2MVknLCE2dYnTS1Rx7ioeJvmKi5N+/K8VPmYSYIbAlrq124cvNptLXjoEMhaqncqqrC
JaUlRtbeNtFDnfW3NqIIkLT8XlayEu8Rd1p2QJedHKxoA5AbL/krGev8mWRhFCTL2dIk1keRsTeu
ZMlZkRw6TLTW3iVhcQr7uZ2gxsnn0OHXpjcMZES06RxiEsb5BmZNeCXwNCYTiKz3FRfJqVwqpBKN
+CagXlBP9DSiLKPn6K1j1fG1WRR1N6odle28lCo/+MI0uPVGrS38kMzA0Bamm8jptQVHNpvpdT5C
0irjyp/CLbUuOCQDeipF4F9oRe/dBUR6VTGP0ER46Z3nFXFYOI1QNNGuJp3Ft6jC/EKG0or661KO
JWIBikCb9xYtGwiiMSE4tlkV64ZMbpCgoH+yH9RivM4HDb+YGF8Lsy8wTNTU26jj8nMWp3nDPhP7
yqw3rQfZa0jMiGAmwyfoUFIIb3fdKOYoDyzvWq6tuLpT3daD5aWNpHxC5jXdr5ER+PqZrJaJxD28
b/J/y36+y344PX59XN6hhttzWPI7L4clSTEceAh3FIezCGHbK9CJxrhKBwSzUBNvZJUj9q/GuANO
BamKbCA8KfRXtkU2bRpN9NNt2Loqh+bfOyxF4/vHxrgtmzolLT7MKsL/N6ATxmRhGqthv8lrjj2E
hDPLLa9rFb/RUGULHpU0uw4IQmbVJMmnqnGx9JcVksJGV5kqmDiAybv1pNC1cygAMpHuCdpOK8Tu
A11srcqEAhTtvdN0+XU2iAiWIu4vHM/Lp0T5WVOncbNrvWrPSpnnvE7RB+OVuwEQL9igU+8KAhUw
O+bxc4+UilmlKJ8T3PhWMWlhy9DRlrnRrLXBvvaKplz0eqjOzDYPNnHQJ1POnq8SOQMrp7O/pKMa
fC70Ljvz1SFd1KODF48w5lSYgk2gYNbey7WzQvQq0q7IlamfUFuB38YCyc3TsYZ6BG0A77CJnocA
bE1y2gANRQDBnUCEa6BhR2DEBmCx3OjzyPLkuQqMHAEnc4UiX0U5ywTOLAvEORPYcxr5Xw3A6N6E
0E/n6sYrohshMZznArl2gbBrgWWTHQbhJ8XvxfS8VTSCeEsmCLvAwPvUPDZxueMqBOKGkzI5DwIy
912c3VNQdP7QIXyA/FMmuec6OLsNT01zuXfrIPAuSDzi8vYUSTLOfPUoU6HY58gkuVG447mR8Set
835GXDD4hnavaiUhxdGD5OaAGL5/HNENMEVbgNsQvGvRKpA6dY1TpEEBD2+oo5+AkIAGTSJCw8g0
FC2HTDQfDLoQuTdekrmEmp/2hCQaFdjwOBiy0bww7SKyN9rAxngvq6YxrC2KgLnleydQsEYu+Uia
Z7HBdc+3jJ1EimHQCM2GNBDIhgO3SzQN9/j4uMVJC1cC4Dc1UU41i+jbWCiaXVmB5WXYwXIwImgd
ZB9jU6NelYbRTlu7RIfhRfgw0RLHf3uYBwiw59j9LygIObgj4nagTblraajw2zXIT+pY4FOZJ1Xz
8qs4TfHKCvR1bzsVVl2JfJ36LrQnHePKLMXGgrwXLqcmei4XXrYup8ju3N2AJCpA2LWODOO6rF1w
vLSeYoE5tSznnD5VvO6IsII2TQ/Iis21ZJf6xqqhPmNbWU9zJTAXWBZ8aiPR7quNU0J5ieHFHmcq
S8ZxGTfBsTJkJ4UeK+siC/gr1Q6chdtKcTdS5y26kYYdZSHWG2UAoSQpl9XArZSb58wu4ns/NhZ2
lrPUWSa54F7QcvqaQ8boBSsjkix7RuKasvEFZ8MV7A2ubbDJdC7/je2etwW08NCheTcQfRKnov+K
xxcGXf3loNBOwS+Tem8Y7UkjmCNyUevozzJ9OXguvBLBMMmL9ASSojUfBPsE74fxuAgVaakLbkpG
F9iUuJGP0FawW7zNpUS7UMOgn7L74fwQoFjzobtIFMCe4L+YEGEKK/S+VVBjHJ9lfGlBlxmfiDOp
I0g0/75uPl83OXB+c34299s95ye/8+r85PjUKXy5HiowFl6dn8oRqQEks0FZxpVG9Etezk+Hn3DY
ct1U3wYL2EccxBCg+ZHIK/h7TRtN3sNlgLlmiqutY5gQ4H7kMsR1WcsYLcmbGl4BYKdBqJgmnahS
g8WfreSwoyAiNKlOSzNyq0WGT9O0hq9QZgZWHYLCwNNnnJaC1sCKgODQmcsWxkNs9/lZOUrTvKUJ
UdsPShshwEs6qFx4Wo2E5ziE6AQWhoD4Wi6bCrwldQTQ3emfO6J39MBPrwvPa6Zenj/gSI9bWP65
VHTRU8cIwyTCJxZZPlmFWqcg3qcXOT/emPnppayheQ119KAabWmzc+Z1J7vTpJNc0qNKUMS4gG9U
b63Ge3ATu1twpuKej7H4GocNAkMy6QrXq/jCqTEtTUys+2KNW5c7WNbMDVCOgWdiWOgOgOo63ABH
e6wC89I3inO7DlBB+NFtoGrXdebkMylUd3lEw8Idvc8lt4KAVd/gFIJXmbIijfKRfTiFGeqvIgcr
HDk8q0z1Lkm9k3B0rpUQEw5jFJJgVb7OrZCYOP4ItQ9dIHbR78DN2g5N1ZNdWt3aHW7kVR4oiPSx
FdHlCzBEZea7wWXgoFOSks7ujodBLqfEnH+TYZ/KsFA5T09aQUvVwuqqMaG+9gghJmOJKMaCxRrS
HOFwjElJIX26kKQGoxx6iwhoiXWIVjYd5HmQVvbGUfNhGeMKPGnNcI0troP1VrlTC9gozmh5l5IQ
OI6BQVxSG50Xg/othrYFLGbCV8MszDmPfVhtWBpAa4kMDzpBEi1SLhPHXpRtIHFweYrtDd6CdCxM
B5LLgEA1wrywUsAMSvU8z3LsV7EWxPhcRzDXYNOoGNIy7BH7tErz1cz9L1GEn2HZ0ERR/XTGfYN5
I7yCXZw2FFHLXyxI2Iqb3SeeC1dCg6eTSpeKnX/TfaJJfTo8+OJO08gsp3JdEshBeFpuJsd9bcx1
T9sMSrThZi2MyR1zImfhjdy5n41EqlbAgdnUl6zPZe0ZfGz11M1Vag4btSxgdziheXSVDPWxzOFV
ROFVEHhzs4nvOrm8h6iZYUuLY9SALswuo2aG5yCFjJwit2NyDV06po+mL01Z+FY6QwQH2jqVC+XB
VkdtVtXDTa6pzaRV8kVecXPESL+YDX27jtxRxt5CPu/i7t4XhBlTUGdSMyiAkPJbDU6TQyVswrIJ
Bd3GhndTy93CKoWmVlBy4OFlMA2bk17QdQZB3EkH47GGydMV8PoTuD2Fi84qEHSfSFWX2Ml/teEB
UVR/VuAFKVJ1yeejeIMx5MAcKgWFiA8888a2mzmwi2xBM2pG+apytK+DICB5Op6ghG30x1I0SOtM
EJVSGEstzCW9kXY+TCZbUJryBFUmQR0QnVxBeRoF+Smx9HnpFg2ta4hRCQypUIadZcMtA+uoYHRm
EKkSQakaBLlKhWVFDi24uCBeYUdKM8DrL0O8sCauIT9g6BX+v7mnfjcCnm3r7fwJXL1sduVwtavA
Fv7MuBI/vcgQLV9n/7t/9AKc7h/oO6x7PeS7//qP7WMSpLOgqsvgoX59CENSfktBfPpMTx/4d0PE
W2SlzSNja9YR91f2DcWBNcgL1kScpd73H0sKQDFCbxVfCwW3Zl6vy6X9H/55qn7/Bf+Vf/Prb0AB
8Rb3lmGC/FC+/CszwTivpsLBt9iBFAvP/eklfvp6KoSfPyHnSBOeoYZXD8qvHoX/60kAtDhwEuwj
OKeqAk/mF5MgH1HiMU36c7340SZBf3lEH/r/9HbZn0/o/7AmfnwSLOKudBtuDwkx4gWq8/ZJIDIB
NIhfY74/2hyI5/cdHgSQJgplQ8woL+r5H+aAjQGphgUt+HnlfcBJeIsI/v0tAXELYKCDHGb/JLAl
UArZaIuZng/5JKhs6AduCc6RIp4BvI2et4S3R4SqsXHiScH97oNOgjjVDpwE0FyB/qo2T/sP60CV
WQdPCtjnE/T5rT7eahCo9YFzYB2BZ2OHZbIkxOvtlsBUCMmCpQAfi9dHnQr58KmgfY5sQwfx/8VU
0E2griLi58NOwlu852/vjhgNW3Q8LFVskeL10zGpszHoGsfkhz0nn3esQ2oF+8hCg09X43kORIH8
0/4gaA4IiD/2ong+wQ6ZCpgjsEIMmiff5+LNVIiSwYbHZisftoD+39yneLh/uEWIlEKFbJ43317U
CgCJOCZ81NWgHFw1QsIX6K+u//zt9SMFWBh31e+bxQctFZTDSwUVtQE26zCknha88F//YUdQjCOy
cVgm1BPi9VFPCOXwY5LoHlTmVIffj8m3m6MirptEgCOl+KjPw+FXauNIQ6lCqfD8594HsYhbBj2T
j1o/K4eDK+YRX487sw5m9fR6uyjAmfgZ9dKHnYTDr5POEeUQZgnY5Ty9xMnxBmGCXqng4PMxwRXj
SWx82C1C6LQAFaDEPM/BT9sjtwiTH+s0Cj/qnnB41agfEWCDm8bLcnh7lWJjJCeNK6ew1uD1Yc+I
96gaARwpiqzvsCtf9cdFgROWCcgCAP1Rn4fDq0aY2sJNy6BJ/vR6+zyIwFiN9GhLXLpZgB8QXzh8
ezSPcKXBQwaz36fX28IJih50XFShHxZ3VQ+uoGnI8KizGMjOeXq9XQ5cojCFsPB/gz0vXh/1eTi4
cAJf0J0ndYD5/E1/ulHJRxjgAcEoz+/1ARfF4YUTBwEY+5+Y208gC88DVto2NJkP+yQcjDRpTIJD
8Uh1+IudQSXYyqHGtj/q3fp7bX8IvMIfGkcstOXfD8o92yMCKp318Deqx39hzfzZ9J76Qfz41O5G
+rqvK/6rf/DSBv3556/6uE/d7B/+pWh/P7/5c7dX/P9//NANV58Owlc/fTkYn97p++9//4o/v/kP
b/byvV7+4wqTzm35ALnliQTw/YOebxO65v+M+Z/H7dsutLjkvvy3Pa3719fp34+O0m/3MtBf2fKi
qffXV33DC/iXB0+2j1n5MtCrwTlnDh58IjyPXsZ5NTYf7uCxp9t42/InqV7GejU+K+Hw8fHzrX76
k7LU2MLfYfC0LklPzvZG/gnh28FvMdvFf5xn5d75Zz84ePx5/McsK3l4XsZ6Nf/chw4ef1Eip983
OAXvwYMv412avozz6oO/x3JdNcl9Fj/WPw8v8NSDP/o6yXdlsI1fhvrr0wuo8vDhseh/GebV0O+x
Yk925Z45F7XawZ/6JEi9PRuBwKkOHvt0G+3Zw0TL4h2Grqrdvjl5jwV6mlV//DP1dvFu38y8xxI9
2z6yAb/Mw6un5T2W6NmWZKY9Y7/HEhVj59m+3V1c2A7+s57t0sfsIdi3e4n27zuMXz7sHl8G+mve
RVv18MEzPvvLOK/Gfo9lepbtnZP3WKUMjb3ibtjzyd9jpZ5v8z0PuuhqHTzh57t2+3PtiLfueyzR
TbllC3j5lK/+nO+xRC/i7cNuT+2ovscavYibZF9xJ5zlD57zq4DSsQoe98yM8Ak7ePxP24eSK0Fa
7zlLtfdYpZ+26R+THSLtfW/wHkv1+Q3KdFs+7t3ItPdYtOJNZsHO2/cl3mPVivEXrICHoHrY9x7v
sXzFexxn26LZd1pp77GGxTucNkH1x+Y+qPJ93+M9FrN4l7Ntvds3/nusZ8avt39MtuX9dl/NoL/H
sn5+jylOKHs2a9xJ3mNhi2+BMGZ8GeyvPVV/l4X9uxj4J+ThACTh0++CRg4fvIpIUWz2TMy7rOXf
mdkf/NkpTPa5UAr9/uGHQb1FQBxvmz11uP4uS/d31tKHTs1vDToPHvy36asHj/47T6TDBwcgSvbh
csIq4uCH5gsjNPu2MeM9Dt7f2F8cOi93v1YG/37ofbDsn43Nn8HaF8XQvl/7EYsW/+Ih3m3Lf/w3
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microsoft.com/office/2014/relationships/chartEx" Target="../charts/chartEx2.xml"/><Relationship Id="rId4" Type="http://schemas.openxmlformats.org/officeDocument/2006/relationships/chart" Target="../charts/chart3.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absolute">
    <xdr:from>
      <xdr:col>2</xdr:col>
      <xdr:colOff>273050</xdr:colOff>
      <xdr:row>0</xdr:row>
      <xdr:rowOff>0</xdr:rowOff>
    </xdr:from>
    <xdr:to>
      <xdr:col>26</xdr:col>
      <xdr:colOff>546805</xdr:colOff>
      <xdr:row>50</xdr:row>
      <xdr:rowOff>1037</xdr:rowOff>
    </xdr:to>
    <xdr:sp macro="" textlink="">
      <xdr:nvSpPr>
        <xdr:cNvPr id="3" name="Rectangle 2">
          <a:extLst>
            <a:ext uri="{FF2B5EF4-FFF2-40B4-BE49-F238E27FC236}">
              <a16:creationId xmlns:a16="http://schemas.microsoft.com/office/drawing/2014/main" id="{4960F564-BAB2-00DB-4329-5B5C5A970844}"/>
            </a:ext>
          </a:extLst>
        </xdr:cNvPr>
        <xdr:cNvSpPr/>
      </xdr:nvSpPr>
      <xdr:spPr>
        <a:xfrm>
          <a:off x="1578328" y="0"/>
          <a:ext cx="14384866" cy="8820481"/>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19050</xdr:colOff>
      <xdr:row>49</xdr:row>
      <xdr:rowOff>177425</xdr:rowOff>
    </xdr:to>
    <xdr:sp macro="" textlink="">
      <xdr:nvSpPr>
        <xdr:cNvPr id="2" name="Rectangle 1">
          <a:extLst>
            <a:ext uri="{FF2B5EF4-FFF2-40B4-BE49-F238E27FC236}">
              <a16:creationId xmlns:a16="http://schemas.microsoft.com/office/drawing/2014/main" id="{234CD83E-1192-4833-E3BC-E179CA3598F5}"/>
            </a:ext>
          </a:extLst>
        </xdr:cNvPr>
        <xdr:cNvSpPr/>
      </xdr:nvSpPr>
      <xdr:spPr>
        <a:xfrm>
          <a:off x="0" y="0"/>
          <a:ext cx="1602201" cy="9128315"/>
        </a:xfrm>
        <a:prstGeom prst="rect">
          <a:avLst/>
        </a:prstGeom>
        <a:solidFill>
          <a:schemeClr val="accent5">
            <a:lumMod val="75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100">
            <a:solidFill>
              <a:schemeClr val="dk1"/>
            </a:solidFill>
            <a:latin typeface="+mn-lt"/>
            <a:ea typeface="+mn-ea"/>
            <a:cs typeface="+mn-cs"/>
          </a:endParaRPr>
        </a:p>
      </xdr:txBody>
    </xdr:sp>
    <xdr:clientData/>
  </xdr:twoCellAnchor>
  <xdr:twoCellAnchor editAs="absolute">
    <xdr:from>
      <xdr:col>0</xdr:col>
      <xdr:colOff>69713</xdr:colOff>
      <xdr:row>6</xdr:row>
      <xdr:rowOff>155314</xdr:rowOff>
    </xdr:from>
    <xdr:to>
      <xdr:col>1</xdr:col>
      <xdr:colOff>984988</xdr:colOff>
      <xdr:row>8</xdr:row>
      <xdr:rowOff>129914</xdr:rowOff>
    </xdr:to>
    <xdr:sp macro="" textlink="'Pivot Table'!A4">
      <xdr:nvSpPr>
        <xdr:cNvPr id="4" name="Rectangle 3">
          <a:extLst>
            <a:ext uri="{FF2B5EF4-FFF2-40B4-BE49-F238E27FC236}">
              <a16:creationId xmlns:a16="http://schemas.microsoft.com/office/drawing/2014/main" id="{4054B8FA-FD27-457C-3186-4C3EA6E8420B}"/>
            </a:ext>
          </a:extLst>
        </xdr:cNvPr>
        <xdr:cNvSpPr/>
      </xdr:nvSpPr>
      <xdr:spPr>
        <a:xfrm>
          <a:off x="69713" y="1251341"/>
          <a:ext cx="1176234" cy="339943"/>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C462BE3-365F-4D83-917A-F1CFC80F544D}" type="TxLink">
            <a:rPr lang="en-US" sz="1800" b="0" i="0" u="none" strike="noStrike">
              <a:ln>
                <a:solidFill>
                  <a:schemeClr val="bg2">
                    <a:lumMod val="25000"/>
                  </a:schemeClr>
                </a:solidFill>
              </a:ln>
              <a:solidFill>
                <a:srgbClr val="000000"/>
              </a:solidFill>
              <a:latin typeface="Aptos Narrow"/>
            </a:rPr>
            <a:pPr algn="ctr"/>
            <a:t> 2,400 </a:t>
          </a:fld>
          <a:endParaRPr lang="en-IN" sz="1800" b="0" i="0" u="none" strike="noStrike">
            <a:ln>
              <a:solidFill>
                <a:schemeClr val="bg2">
                  <a:lumMod val="25000"/>
                </a:schemeClr>
              </a:solidFill>
            </a:ln>
            <a:solidFill>
              <a:srgbClr val="000000"/>
            </a:solidFill>
            <a:latin typeface="Aptos Narrow"/>
          </a:endParaRPr>
        </a:p>
      </xdr:txBody>
    </xdr:sp>
    <xdr:clientData/>
  </xdr:twoCellAnchor>
  <xdr:twoCellAnchor editAs="absolute">
    <xdr:from>
      <xdr:col>0</xdr:col>
      <xdr:colOff>69713</xdr:colOff>
      <xdr:row>10</xdr:row>
      <xdr:rowOff>132984</xdr:rowOff>
    </xdr:from>
    <xdr:to>
      <xdr:col>1</xdr:col>
      <xdr:colOff>984988</xdr:colOff>
      <xdr:row>12</xdr:row>
      <xdr:rowOff>120285</xdr:rowOff>
    </xdr:to>
    <xdr:sp macro="" textlink="'Pivot Table'!B4">
      <xdr:nvSpPr>
        <xdr:cNvPr id="12" name="Rectangle 11">
          <a:extLst>
            <a:ext uri="{FF2B5EF4-FFF2-40B4-BE49-F238E27FC236}">
              <a16:creationId xmlns:a16="http://schemas.microsoft.com/office/drawing/2014/main" id="{79389AD7-A925-4032-A9D0-3088F18BC8FC}"/>
            </a:ext>
          </a:extLst>
        </xdr:cNvPr>
        <xdr:cNvSpPr/>
      </xdr:nvSpPr>
      <xdr:spPr>
        <a:xfrm>
          <a:off x="69713" y="1959696"/>
          <a:ext cx="1176234" cy="352644"/>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F5AF65C-19E4-4C50-8998-DE043AB1A839}" type="TxLink">
            <a:rPr lang="en-US" sz="1800" b="0" i="0" u="none" strike="noStrike">
              <a:ln>
                <a:solidFill>
                  <a:schemeClr val="bg2">
                    <a:lumMod val="25000"/>
                  </a:schemeClr>
                </a:solidFill>
              </a:ln>
              <a:solidFill>
                <a:srgbClr val="000000"/>
              </a:solidFill>
              <a:latin typeface="Aptos Narrow"/>
              <a:ea typeface="+mn-ea"/>
              <a:cs typeface="+mn-cs"/>
            </a:rPr>
            <a:pPr marL="0" indent="0" algn="ctr"/>
            <a:t> 11,997 </a:t>
          </a:fld>
          <a:endParaRPr lang="en-IN" sz="1800" b="0" i="0" u="none" strike="noStrike">
            <a:ln>
              <a:solidFill>
                <a:schemeClr val="bg2">
                  <a:lumMod val="25000"/>
                </a:schemeClr>
              </a:solidFill>
            </a:ln>
            <a:solidFill>
              <a:srgbClr val="000000"/>
            </a:solidFill>
            <a:latin typeface="Aptos Narrow"/>
            <a:ea typeface="+mn-ea"/>
            <a:cs typeface="+mn-cs"/>
          </a:endParaRPr>
        </a:p>
      </xdr:txBody>
    </xdr:sp>
    <xdr:clientData/>
  </xdr:twoCellAnchor>
  <xdr:twoCellAnchor editAs="absolute">
    <xdr:from>
      <xdr:col>0</xdr:col>
      <xdr:colOff>69713</xdr:colOff>
      <xdr:row>19</xdr:row>
      <xdr:rowOff>2609</xdr:rowOff>
    </xdr:from>
    <xdr:to>
      <xdr:col>1</xdr:col>
      <xdr:colOff>984988</xdr:colOff>
      <xdr:row>20</xdr:row>
      <xdr:rowOff>134479</xdr:rowOff>
    </xdr:to>
    <xdr:sp macro="" textlink="'Pivot Table'!D4">
      <xdr:nvSpPr>
        <xdr:cNvPr id="13" name="Rectangle 12">
          <a:extLst>
            <a:ext uri="{FF2B5EF4-FFF2-40B4-BE49-F238E27FC236}">
              <a16:creationId xmlns:a16="http://schemas.microsoft.com/office/drawing/2014/main" id="{396C2D8C-5198-4EB4-9BAE-DE06CE577DAB}"/>
            </a:ext>
          </a:extLst>
        </xdr:cNvPr>
        <xdr:cNvSpPr/>
      </xdr:nvSpPr>
      <xdr:spPr>
        <a:xfrm>
          <a:off x="69713" y="3473362"/>
          <a:ext cx="1176234" cy="314542"/>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5A9AD3E-2769-4E8E-AB80-AD4AD85A79B9}" type="TxLink">
            <a:rPr lang="en-US" sz="1800" b="0" i="0" u="none" strike="noStrike">
              <a:ln>
                <a:solidFill>
                  <a:schemeClr val="bg2">
                    <a:lumMod val="25000"/>
                  </a:schemeClr>
                </a:solidFill>
              </a:ln>
              <a:solidFill>
                <a:srgbClr val="000000"/>
              </a:solidFill>
              <a:latin typeface="Aptos Narrow"/>
              <a:ea typeface="+mn-ea"/>
              <a:cs typeface="+mn-cs"/>
            </a:rPr>
            <a:pPr marL="0" indent="0" algn="ctr"/>
            <a:t>4.0</a:t>
          </a:fld>
          <a:endParaRPr lang="en-IN" sz="1800" b="0" i="0" u="none" strike="noStrike">
            <a:ln>
              <a:solidFill>
                <a:schemeClr val="bg2">
                  <a:lumMod val="25000"/>
                </a:schemeClr>
              </a:solidFill>
            </a:ln>
            <a:solidFill>
              <a:srgbClr val="000000"/>
            </a:solidFill>
            <a:latin typeface="Aptos Narrow"/>
            <a:ea typeface="+mn-ea"/>
            <a:cs typeface="+mn-cs"/>
          </a:endParaRPr>
        </a:p>
      </xdr:txBody>
    </xdr:sp>
    <xdr:clientData/>
  </xdr:twoCellAnchor>
  <xdr:twoCellAnchor editAs="absolute">
    <xdr:from>
      <xdr:col>0</xdr:col>
      <xdr:colOff>69713</xdr:colOff>
      <xdr:row>15</xdr:row>
      <xdr:rowOff>1912</xdr:rowOff>
    </xdr:from>
    <xdr:to>
      <xdr:col>1</xdr:col>
      <xdr:colOff>984988</xdr:colOff>
      <xdr:row>16</xdr:row>
      <xdr:rowOff>142406</xdr:rowOff>
    </xdr:to>
    <xdr:sp macro="" textlink="'Pivot Table'!C4">
      <xdr:nvSpPr>
        <xdr:cNvPr id="14" name="Rectangle 13">
          <a:extLst>
            <a:ext uri="{FF2B5EF4-FFF2-40B4-BE49-F238E27FC236}">
              <a16:creationId xmlns:a16="http://schemas.microsoft.com/office/drawing/2014/main" id="{4ECEBF26-B884-472F-ADCA-6FF918648AB6}"/>
            </a:ext>
          </a:extLst>
        </xdr:cNvPr>
        <xdr:cNvSpPr/>
      </xdr:nvSpPr>
      <xdr:spPr>
        <a:xfrm>
          <a:off x="69713" y="2737902"/>
          <a:ext cx="1176234" cy="327244"/>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6CE4B5F-DD7C-4698-B9BC-BB22B549E476}" type="TxLink">
            <a:rPr lang="en-US" sz="2000" b="1" i="0" u="none" strike="noStrike">
              <a:ln>
                <a:solidFill>
                  <a:schemeClr val="bg2">
                    <a:lumMod val="25000"/>
                  </a:schemeClr>
                </a:solidFill>
              </a:ln>
              <a:solidFill>
                <a:srgbClr val="FFC000"/>
              </a:solidFill>
              <a:latin typeface="Aptos Narrow"/>
              <a:ea typeface="+mn-ea"/>
              <a:cs typeface="+mn-cs"/>
            </a:rPr>
            <a:pPr marL="0" indent="0" algn="ctr"/>
            <a:t>$649.0k</a:t>
          </a:fld>
          <a:endParaRPr lang="en-IN" sz="2000" b="1" i="0" u="none" strike="noStrike">
            <a:ln>
              <a:solidFill>
                <a:schemeClr val="bg2">
                  <a:lumMod val="25000"/>
                </a:schemeClr>
              </a:solidFill>
            </a:ln>
            <a:solidFill>
              <a:srgbClr val="FFC000"/>
            </a:solidFill>
            <a:latin typeface="Aptos Narrow"/>
            <a:ea typeface="+mn-ea"/>
            <a:cs typeface="+mn-cs"/>
          </a:endParaRPr>
        </a:p>
      </xdr:txBody>
    </xdr:sp>
    <xdr:clientData/>
  </xdr:twoCellAnchor>
  <xdr:twoCellAnchor editAs="absolute">
    <xdr:from>
      <xdr:col>0</xdr:col>
      <xdr:colOff>69713</xdr:colOff>
      <xdr:row>24</xdr:row>
      <xdr:rowOff>34795</xdr:rowOff>
    </xdr:from>
    <xdr:to>
      <xdr:col>1</xdr:col>
      <xdr:colOff>977790</xdr:colOff>
      <xdr:row>26</xdr:row>
      <xdr:rowOff>113082</xdr:rowOff>
    </xdr:to>
    <xdr:sp macro="" textlink="'Pivot Table'!E4">
      <xdr:nvSpPr>
        <xdr:cNvPr id="15" name="Rectangle 14">
          <a:extLst>
            <a:ext uri="{FF2B5EF4-FFF2-40B4-BE49-F238E27FC236}">
              <a16:creationId xmlns:a16="http://schemas.microsoft.com/office/drawing/2014/main" id="{F013AAE2-0644-4039-8229-1A4EBEC4AA14}"/>
            </a:ext>
          </a:extLst>
        </xdr:cNvPr>
        <xdr:cNvSpPr/>
      </xdr:nvSpPr>
      <xdr:spPr>
        <a:xfrm>
          <a:off x="69713" y="4418905"/>
          <a:ext cx="1169036" cy="443629"/>
        </a:xfrm>
        <a:prstGeom prst="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BED1490-E420-4BD6-9732-48C59D306FAD}" type="TxLink">
            <a:rPr lang="en-US" sz="1800" b="0" i="0" u="none" strike="noStrike">
              <a:ln>
                <a:solidFill>
                  <a:schemeClr val="bg2">
                    <a:lumMod val="25000"/>
                  </a:schemeClr>
                </a:solidFill>
              </a:ln>
              <a:solidFill>
                <a:srgbClr val="000000"/>
              </a:solidFill>
              <a:latin typeface="Aptos Narrow"/>
              <a:ea typeface="+mn-ea"/>
              <a:cs typeface="+mn-cs"/>
            </a:rPr>
            <a:pPr marL="0" indent="0" algn="ctr"/>
            <a:t>2.3</a:t>
          </a:fld>
          <a:endParaRPr lang="en-IN" sz="1800" b="0" i="0" u="none" strike="noStrike">
            <a:ln>
              <a:solidFill>
                <a:schemeClr val="bg2">
                  <a:lumMod val="25000"/>
                </a:schemeClr>
              </a:solidFill>
            </a:ln>
            <a:solidFill>
              <a:srgbClr val="000000"/>
            </a:solidFill>
            <a:latin typeface="Aptos Narrow"/>
            <a:ea typeface="+mn-ea"/>
            <a:cs typeface="+mn-cs"/>
          </a:endParaRPr>
        </a:p>
      </xdr:txBody>
    </xdr:sp>
    <xdr:clientData/>
  </xdr:twoCellAnchor>
  <xdr:twoCellAnchor editAs="absolute">
    <xdr:from>
      <xdr:col>0</xdr:col>
      <xdr:colOff>69713</xdr:colOff>
      <xdr:row>5</xdr:row>
      <xdr:rowOff>38622</xdr:rowOff>
    </xdr:from>
    <xdr:to>
      <xdr:col>1</xdr:col>
      <xdr:colOff>845288</xdr:colOff>
      <xdr:row>6</xdr:row>
      <xdr:rowOff>87943</xdr:rowOff>
    </xdr:to>
    <xdr:sp macro="" textlink="">
      <xdr:nvSpPr>
        <xdr:cNvPr id="20" name="TextBox 19">
          <a:extLst>
            <a:ext uri="{FF2B5EF4-FFF2-40B4-BE49-F238E27FC236}">
              <a16:creationId xmlns:a16="http://schemas.microsoft.com/office/drawing/2014/main" id="{D72A4AC6-8924-896C-38BC-70BF7F396640}"/>
            </a:ext>
          </a:extLst>
        </xdr:cNvPr>
        <xdr:cNvSpPr txBox="1"/>
      </xdr:nvSpPr>
      <xdr:spPr>
        <a:xfrm>
          <a:off x="69713" y="951978"/>
          <a:ext cx="1036534" cy="231992"/>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400">
              <a:solidFill>
                <a:schemeClr val="dk1"/>
              </a:solidFill>
              <a:latin typeface="+mn-lt"/>
              <a:ea typeface="+mn-ea"/>
              <a:cs typeface="+mn-cs"/>
            </a:rPr>
            <a:t>Orders</a:t>
          </a:r>
          <a:endParaRPr lang="en-IN" sz="1400">
            <a:solidFill>
              <a:schemeClr val="dk1"/>
            </a:solidFill>
            <a:latin typeface="+mn-lt"/>
            <a:ea typeface="+mn-ea"/>
            <a:cs typeface="+mn-cs"/>
          </a:endParaRPr>
        </a:p>
      </xdr:txBody>
    </xdr:sp>
    <xdr:clientData/>
  </xdr:twoCellAnchor>
  <xdr:twoCellAnchor editAs="absolute">
    <xdr:from>
      <xdr:col>0</xdr:col>
      <xdr:colOff>69713</xdr:colOff>
      <xdr:row>9</xdr:row>
      <xdr:rowOff>14614</xdr:rowOff>
    </xdr:from>
    <xdr:to>
      <xdr:col>1</xdr:col>
      <xdr:colOff>845288</xdr:colOff>
      <xdr:row>10</xdr:row>
      <xdr:rowOff>65613</xdr:rowOff>
    </xdr:to>
    <xdr:sp macro="" textlink="">
      <xdr:nvSpPr>
        <xdr:cNvPr id="21" name="TextBox 20">
          <a:extLst>
            <a:ext uri="{FF2B5EF4-FFF2-40B4-BE49-F238E27FC236}">
              <a16:creationId xmlns:a16="http://schemas.microsoft.com/office/drawing/2014/main" id="{27E0CE4C-40E0-4E5C-BE3A-BC157A6E7ECF}"/>
            </a:ext>
          </a:extLst>
        </xdr:cNvPr>
        <xdr:cNvSpPr txBox="1"/>
      </xdr:nvSpPr>
      <xdr:spPr>
        <a:xfrm>
          <a:off x="69713" y="1658655"/>
          <a:ext cx="1036534" cy="23367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400">
              <a:solidFill>
                <a:schemeClr val="dk1"/>
              </a:solidFill>
              <a:latin typeface="+mn-lt"/>
              <a:ea typeface="+mn-ea"/>
              <a:cs typeface="+mn-cs"/>
            </a:rPr>
            <a:t>Quantity</a:t>
          </a:r>
          <a:endParaRPr lang="en-IN" sz="1400">
            <a:solidFill>
              <a:schemeClr val="dk1"/>
            </a:solidFill>
            <a:latin typeface="+mn-lt"/>
            <a:ea typeface="+mn-ea"/>
            <a:cs typeface="+mn-cs"/>
          </a:endParaRPr>
        </a:p>
      </xdr:txBody>
    </xdr:sp>
    <xdr:clientData/>
  </xdr:twoCellAnchor>
  <xdr:twoCellAnchor editAs="absolute">
    <xdr:from>
      <xdr:col>0</xdr:col>
      <xdr:colOff>69713</xdr:colOff>
      <xdr:row>21</xdr:row>
      <xdr:rowOff>19179</xdr:rowOff>
    </xdr:from>
    <xdr:to>
      <xdr:col>2</xdr:col>
      <xdr:colOff>211967</xdr:colOff>
      <xdr:row>24</xdr:row>
      <xdr:rowOff>80336</xdr:rowOff>
    </xdr:to>
    <xdr:sp macro="" textlink="">
      <xdr:nvSpPr>
        <xdr:cNvPr id="22" name="TextBox 21">
          <a:extLst>
            <a:ext uri="{FF2B5EF4-FFF2-40B4-BE49-F238E27FC236}">
              <a16:creationId xmlns:a16="http://schemas.microsoft.com/office/drawing/2014/main" id="{7896DFF3-F8A7-4D37-AF82-D8A2A1CDFADD}"/>
            </a:ext>
          </a:extLst>
        </xdr:cNvPr>
        <xdr:cNvSpPr txBox="1"/>
      </xdr:nvSpPr>
      <xdr:spPr>
        <a:xfrm>
          <a:off x="69713" y="3855275"/>
          <a:ext cx="1447049" cy="609171"/>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a:solidFill>
                <a:schemeClr val="dk1"/>
              </a:solidFill>
              <a:latin typeface="+mn-lt"/>
              <a:ea typeface="+mn-ea"/>
              <a:cs typeface="+mn-cs"/>
            </a:rPr>
            <a:t>📅Avg days to Deliver</a:t>
          </a:r>
          <a:endParaRPr lang="en-IN" sz="1400">
            <a:solidFill>
              <a:schemeClr val="dk1"/>
            </a:solidFill>
            <a:latin typeface="+mn-lt"/>
            <a:ea typeface="+mn-ea"/>
            <a:cs typeface="+mn-cs"/>
          </a:endParaRPr>
        </a:p>
      </xdr:txBody>
    </xdr:sp>
    <xdr:clientData/>
  </xdr:twoCellAnchor>
  <xdr:twoCellAnchor editAs="absolute">
    <xdr:from>
      <xdr:col>0</xdr:col>
      <xdr:colOff>69713</xdr:colOff>
      <xdr:row>17</xdr:row>
      <xdr:rowOff>27106</xdr:rowOff>
    </xdr:from>
    <xdr:to>
      <xdr:col>2</xdr:col>
      <xdr:colOff>168174</xdr:colOff>
      <xdr:row>18</xdr:row>
      <xdr:rowOff>117909</xdr:rowOff>
    </xdr:to>
    <xdr:sp macro="" textlink="">
      <xdr:nvSpPr>
        <xdr:cNvPr id="23" name="TextBox 22">
          <a:extLst>
            <a:ext uri="{FF2B5EF4-FFF2-40B4-BE49-F238E27FC236}">
              <a16:creationId xmlns:a16="http://schemas.microsoft.com/office/drawing/2014/main" id="{328D029D-1C2D-4CF4-A146-D8561DED316E}"/>
            </a:ext>
          </a:extLst>
        </xdr:cNvPr>
        <xdr:cNvSpPr txBox="1"/>
      </xdr:nvSpPr>
      <xdr:spPr>
        <a:xfrm>
          <a:off x="69713" y="3132517"/>
          <a:ext cx="1403256" cy="27347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400">
              <a:solidFill>
                <a:schemeClr val="dk1"/>
              </a:solidFill>
              <a:latin typeface="+mn-lt"/>
              <a:ea typeface="+mn-ea"/>
              <a:cs typeface="+mn-cs"/>
            </a:rPr>
            <a:t>Avg.</a:t>
          </a:r>
          <a:r>
            <a:rPr lang="en-US" sz="1100">
              <a:solidFill>
                <a:schemeClr val="dk1"/>
              </a:solidFill>
              <a:latin typeface="+mn-lt"/>
              <a:ea typeface="+mn-ea"/>
              <a:cs typeface="+mn-cs"/>
            </a:rPr>
            <a:t> </a:t>
          </a:r>
          <a:r>
            <a:rPr lang="en-US" sz="1400">
              <a:solidFill>
                <a:schemeClr val="dk1"/>
              </a:solidFill>
              <a:latin typeface="+mn-lt"/>
              <a:ea typeface="+mn-ea"/>
              <a:cs typeface="+mn-cs"/>
            </a:rPr>
            <a:t>Rating</a:t>
          </a:r>
          <a:endParaRPr lang="en-IN" sz="1400">
            <a:solidFill>
              <a:schemeClr val="dk1"/>
            </a:solidFill>
            <a:latin typeface="+mn-lt"/>
            <a:ea typeface="+mn-ea"/>
            <a:cs typeface="+mn-cs"/>
          </a:endParaRPr>
        </a:p>
      </xdr:txBody>
    </xdr:sp>
    <xdr:clientData/>
  </xdr:twoCellAnchor>
  <xdr:twoCellAnchor editAs="absolute">
    <xdr:from>
      <xdr:col>0</xdr:col>
      <xdr:colOff>69713</xdr:colOff>
      <xdr:row>13</xdr:row>
      <xdr:rowOff>4985</xdr:rowOff>
    </xdr:from>
    <xdr:to>
      <xdr:col>1</xdr:col>
      <xdr:colOff>845288</xdr:colOff>
      <xdr:row>14</xdr:row>
      <xdr:rowOff>113134</xdr:rowOff>
    </xdr:to>
    <xdr:sp macro="" textlink="">
      <xdr:nvSpPr>
        <xdr:cNvPr id="24" name="TextBox 23">
          <a:extLst>
            <a:ext uri="{FF2B5EF4-FFF2-40B4-BE49-F238E27FC236}">
              <a16:creationId xmlns:a16="http://schemas.microsoft.com/office/drawing/2014/main" id="{DF4A7817-4CD7-4557-A49A-A7576679C0C5}"/>
            </a:ext>
          </a:extLst>
        </xdr:cNvPr>
        <xdr:cNvSpPr txBox="1"/>
      </xdr:nvSpPr>
      <xdr:spPr>
        <a:xfrm>
          <a:off x="69713" y="2379711"/>
          <a:ext cx="1036534" cy="29082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dk1"/>
              </a:solidFill>
              <a:latin typeface="+mn-lt"/>
              <a:ea typeface="+mn-ea"/>
              <a:cs typeface="+mn-cs"/>
            </a:rPr>
            <a:t>💰Amount</a:t>
          </a:r>
          <a:endParaRPr lang="en-IN" sz="1400">
            <a:solidFill>
              <a:schemeClr val="dk1"/>
            </a:solidFill>
            <a:latin typeface="+mn-lt"/>
            <a:ea typeface="+mn-ea"/>
            <a:cs typeface="+mn-cs"/>
          </a:endParaRPr>
        </a:p>
      </xdr:txBody>
    </xdr:sp>
    <xdr:clientData/>
  </xdr:twoCellAnchor>
  <xdr:twoCellAnchor editAs="absolute">
    <xdr:from>
      <xdr:col>4</xdr:col>
      <xdr:colOff>0</xdr:colOff>
      <xdr:row>0</xdr:row>
      <xdr:rowOff>82550</xdr:rowOff>
    </xdr:from>
    <xdr:to>
      <xdr:col>11</xdr:col>
      <xdr:colOff>25400</xdr:colOff>
      <xdr:row>16</xdr:row>
      <xdr:rowOff>0</xdr:rowOff>
    </xdr:to>
    <xdr:graphicFrame macro="">
      <xdr:nvGraphicFramePr>
        <xdr:cNvPr id="25" name="Chart 24">
          <a:extLst>
            <a:ext uri="{FF2B5EF4-FFF2-40B4-BE49-F238E27FC236}">
              <a16:creationId xmlns:a16="http://schemas.microsoft.com/office/drawing/2014/main" id="{838932BD-98DD-4CA2-891F-CD09BBBB3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481371</xdr:colOff>
      <xdr:row>0</xdr:row>
      <xdr:rowOff>114300</xdr:rowOff>
    </xdr:from>
    <xdr:to>
      <xdr:col>19</xdr:col>
      <xdr:colOff>235565</xdr:colOff>
      <xdr:row>16</xdr:row>
      <xdr:rowOff>0</xdr:rowOff>
    </xdr:to>
    <xdr:sp macro="" textlink="">
      <xdr:nvSpPr>
        <xdr:cNvPr id="29" name="Rectangle 28">
          <a:extLst>
            <a:ext uri="{FF2B5EF4-FFF2-40B4-BE49-F238E27FC236}">
              <a16:creationId xmlns:a16="http://schemas.microsoft.com/office/drawing/2014/main" id="{6D27387D-E6C6-1F4B-AE41-6D18E9802AB6}"/>
            </a:ext>
          </a:extLst>
        </xdr:cNvPr>
        <xdr:cNvSpPr/>
      </xdr:nvSpPr>
      <xdr:spPr>
        <a:xfrm>
          <a:off x="6606048" y="114300"/>
          <a:ext cx="4670323" cy="283537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12</xdr:col>
          <xdr:colOff>279773</xdr:colOff>
          <xdr:row>2</xdr:row>
          <xdr:rowOff>31377</xdr:rowOff>
        </xdr:from>
        <xdr:to>
          <xdr:col>18</xdr:col>
          <xdr:colOff>413123</xdr:colOff>
          <xdr:row>14</xdr:row>
          <xdr:rowOff>126627</xdr:rowOff>
        </xdr:to>
        <xdr:pic>
          <xdr:nvPicPr>
            <xdr:cNvPr id="27" name="Picture 26">
              <a:extLst>
                <a:ext uri="{FF2B5EF4-FFF2-40B4-BE49-F238E27FC236}">
                  <a16:creationId xmlns:a16="http://schemas.microsoft.com/office/drawing/2014/main" id="{22F92771-7344-6450-2E9D-B96AD49078A6}"/>
                </a:ext>
              </a:extLst>
            </xdr:cNvPr>
            <xdr:cNvPicPr>
              <a:picLocks noChangeAspect="1" noChangeArrowheads="1"/>
              <a:extLst>
                <a:ext uri="{84589F7E-364E-4C9E-8A38-B11213B215E9}">
                  <a14:cameraTool cellRange="'Pivot 2'!$H$4:$L$9" spid="_x0000_s1058"/>
                </a:ext>
              </a:extLst>
            </xdr:cNvPicPr>
          </xdr:nvPicPr>
          <xdr:blipFill>
            <a:blip xmlns:r="http://schemas.openxmlformats.org/officeDocument/2006/relationships" r:embed="rId2"/>
            <a:srcRect/>
            <a:stretch>
              <a:fillRect/>
            </a:stretch>
          </xdr:blipFill>
          <xdr:spPr bwMode="auto">
            <a:xfrm>
              <a:off x="6975288" y="404906"/>
              <a:ext cx="3775261" cy="233642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20</xdr:col>
      <xdr:colOff>37352</xdr:colOff>
      <xdr:row>0</xdr:row>
      <xdr:rowOff>91514</xdr:rowOff>
    </xdr:from>
    <xdr:to>
      <xdr:col>26</xdr:col>
      <xdr:colOff>141110</xdr:colOff>
      <xdr:row>16</xdr:row>
      <xdr:rowOff>28015</xdr:rowOff>
    </xdr:to>
    <xdr:graphicFrame macro="">
      <xdr:nvGraphicFramePr>
        <xdr:cNvPr id="30" name="Chart 29">
          <a:extLst>
            <a:ext uri="{FF2B5EF4-FFF2-40B4-BE49-F238E27FC236}">
              <a16:creationId xmlns:a16="http://schemas.microsoft.com/office/drawing/2014/main" id="{8DD2A867-2F94-41BE-8383-2091406EE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207682</xdr:colOff>
      <xdr:row>17</xdr:row>
      <xdr:rowOff>153629</xdr:rowOff>
    </xdr:from>
    <xdr:to>
      <xdr:col>11</xdr:col>
      <xdr:colOff>37353</xdr:colOff>
      <xdr:row>49</xdr:row>
      <xdr:rowOff>56028</xdr:rowOff>
    </xdr:to>
    <xdr:graphicFrame macro="">
      <xdr:nvGraphicFramePr>
        <xdr:cNvPr id="31" name="Chart 30">
          <a:extLst>
            <a:ext uri="{FF2B5EF4-FFF2-40B4-BE49-F238E27FC236}">
              <a16:creationId xmlns:a16="http://schemas.microsoft.com/office/drawing/2014/main" id="{9194FB47-46A7-4D29-AADB-8D74DF10F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373529</xdr:colOff>
      <xdr:row>34</xdr:row>
      <xdr:rowOff>140073</xdr:rowOff>
    </xdr:from>
    <xdr:to>
      <xdr:col>9</xdr:col>
      <xdr:colOff>10242</xdr:colOff>
      <xdr:row>47</xdr:row>
      <xdr:rowOff>17182</xdr:rowOff>
    </xdr:to>
    <xdr:graphicFrame macro="">
      <xdr:nvGraphicFramePr>
        <xdr:cNvPr id="34" name="Chart 33">
          <a:extLst>
            <a:ext uri="{FF2B5EF4-FFF2-40B4-BE49-F238E27FC236}">
              <a16:creationId xmlns:a16="http://schemas.microsoft.com/office/drawing/2014/main" id="{D2AF3627-56CD-4817-B9D0-780B38484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20</xdr:col>
      <xdr:colOff>1069</xdr:colOff>
      <xdr:row>18</xdr:row>
      <xdr:rowOff>17396</xdr:rowOff>
    </xdr:from>
    <xdr:to>
      <xdr:col>26</xdr:col>
      <xdr:colOff>129886</xdr:colOff>
      <xdr:row>34</xdr:row>
      <xdr:rowOff>101021</xdr:rowOff>
    </xdr:to>
    <xdr:graphicFrame macro="">
      <xdr:nvGraphicFramePr>
        <xdr:cNvPr id="37" name="Chart 36">
          <a:extLst>
            <a:ext uri="{FF2B5EF4-FFF2-40B4-BE49-F238E27FC236}">
              <a16:creationId xmlns:a16="http://schemas.microsoft.com/office/drawing/2014/main" id="{CF5D3EB1-28F1-45C3-BD0F-B287B1400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20</xdr:col>
      <xdr:colOff>0</xdr:colOff>
      <xdr:row>34</xdr:row>
      <xdr:rowOff>173182</xdr:rowOff>
    </xdr:from>
    <xdr:to>
      <xdr:col>26</xdr:col>
      <xdr:colOff>129886</xdr:colOff>
      <xdr:row>49</xdr:row>
      <xdr:rowOff>102178</xdr:rowOff>
    </xdr:to>
    <xdr:graphicFrame macro="">
      <xdr:nvGraphicFramePr>
        <xdr:cNvPr id="39" name="Chart 38">
          <a:extLst>
            <a:ext uri="{FF2B5EF4-FFF2-40B4-BE49-F238E27FC236}">
              <a16:creationId xmlns:a16="http://schemas.microsoft.com/office/drawing/2014/main" id="{0D39F4A0-3E64-4764-9665-BB28C3CBF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62524</xdr:colOff>
      <xdr:row>28</xdr:row>
      <xdr:rowOff>107781</xdr:rowOff>
    </xdr:from>
    <xdr:to>
      <xdr:col>2</xdr:col>
      <xdr:colOff>254223</xdr:colOff>
      <xdr:row>38</xdr:row>
      <xdr:rowOff>166172</xdr:rowOff>
    </xdr:to>
    <mc:AlternateContent xmlns:mc="http://schemas.openxmlformats.org/markup-compatibility/2006">
      <mc:Choice xmlns:a14="http://schemas.microsoft.com/office/drawing/2010/main" Requires="a14">
        <xdr:graphicFrame macro="">
          <xdr:nvGraphicFramePr>
            <xdr:cNvPr id="42" name="Order Mode">
              <a:extLst>
                <a:ext uri="{FF2B5EF4-FFF2-40B4-BE49-F238E27FC236}">
                  <a16:creationId xmlns:a16="http://schemas.microsoft.com/office/drawing/2014/main" id="{7C2C09AD-08F0-4513-98C4-C55E3C5F9C21}"/>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62524" y="5386219"/>
              <a:ext cx="1501387" cy="1943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69938</xdr:colOff>
      <xdr:row>40</xdr:row>
      <xdr:rowOff>1334</xdr:rowOff>
    </xdr:from>
    <xdr:to>
      <xdr:col>2</xdr:col>
      <xdr:colOff>255620</xdr:colOff>
      <xdr:row>48</xdr:row>
      <xdr:rowOff>145977</xdr:rowOff>
    </xdr:to>
    <mc:AlternateContent xmlns:mc="http://schemas.openxmlformats.org/markup-compatibility/2006">
      <mc:Choice xmlns:a14="http://schemas.microsoft.com/office/drawing/2010/main" Requires="a14">
        <xdr:graphicFrame macro="">
          <xdr:nvGraphicFramePr>
            <xdr:cNvPr id="43" name="Gender Value">
              <a:extLst>
                <a:ext uri="{FF2B5EF4-FFF2-40B4-BE49-F238E27FC236}">
                  <a16:creationId xmlns:a16="http://schemas.microsoft.com/office/drawing/2014/main" id="{4FC50395-D3B6-485F-ABB7-835036EDAC22}"/>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69938" y="7541959"/>
              <a:ext cx="1495370" cy="1652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xdr:row>
      <xdr:rowOff>69589</xdr:rowOff>
    </xdr:from>
    <xdr:to>
      <xdr:col>3</xdr:col>
      <xdr:colOff>1073</xdr:colOff>
      <xdr:row>4</xdr:row>
      <xdr:rowOff>139178</xdr:rowOff>
    </xdr:to>
    <xdr:pic>
      <xdr:nvPicPr>
        <xdr:cNvPr id="6" name="Picture 5">
          <a:extLst>
            <a:ext uri="{FF2B5EF4-FFF2-40B4-BE49-F238E27FC236}">
              <a16:creationId xmlns:a16="http://schemas.microsoft.com/office/drawing/2014/main" id="{1BF81CC2-9643-4432-B465-39C396DE2E5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0" y="252260"/>
          <a:ext cx="1578011" cy="617603"/>
        </a:xfrm>
        <a:prstGeom prst="rect">
          <a:avLst/>
        </a:prstGeom>
      </xdr:spPr>
    </xdr:pic>
    <xdr:clientData/>
  </xdr:twoCellAnchor>
  <xdr:twoCellAnchor editAs="absolute">
    <xdr:from>
      <xdr:col>11</xdr:col>
      <xdr:colOff>461819</xdr:colOff>
      <xdr:row>17</xdr:row>
      <xdr:rowOff>173181</xdr:rowOff>
    </xdr:from>
    <xdr:to>
      <xdr:col>19</xdr:col>
      <xdr:colOff>221747</xdr:colOff>
      <xdr:row>49</xdr:row>
      <xdr:rowOff>72158</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7E486D16-3D1E-4EBD-A735-F383A185BB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537614" y="3362613"/>
              <a:ext cx="4609019" cy="59026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372935</xdr:colOff>
      <xdr:row>22</xdr:row>
      <xdr:rowOff>144317</xdr:rowOff>
    </xdr:from>
    <xdr:to>
      <xdr:col>19</xdr:col>
      <xdr:colOff>50397</xdr:colOff>
      <xdr:row>32</xdr:row>
      <xdr:rowOff>144318</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EEC5F517-E219-4C54-A81A-BBC614E3FC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73276" y="4271817"/>
              <a:ext cx="2102007" cy="18761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xdr:col>
      <xdr:colOff>775702</xdr:colOff>
      <xdr:row>7</xdr:row>
      <xdr:rowOff>8179</xdr:rowOff>
    </xdr:from>
    <xdr:to>
      <xdr:col>3</xdr:col>
      <xdr:colOff>23519</xdr:colOff>
      <xdr:row>9</xdr:row>
      <xdr:rowOff>23519</xdr:rowOff>
    </xdr:to>
    <xdr:sp macro="" textlink="'Pivot Table'!J9">
      <xdr:nvSpPr>
        <xdr:cNvPr id="5" name="Rectangle 4">
          <a:extLst>
            <a:ext uri="{FF2B5EF4-FFF2-40B4-BE49-F238E27FC236}">
              <a16:creationId xmlns:a16="http://schemas.microsoft.com/office/drawing/2014/main" id="{A5EB6CCF-F870-EB1E-3438-39358E5D6FCE}"/>
            </a:ext>
          </a:extLst>
        </xdr:cNvPr>
        <xdr:cNvSpPr/>
      </xdr:nvSpPr>
      <xdr:spPr>
        <a:xfrm>
          <a:off x="1034406" y="1325216"/>
          <a:ext cx="576613" cy="391636"/>
        </a:xfrm>
        <a:prstGeom prst="rect">
          <a:avLst/>
        </a:prstGeom>
        <a:solidFill>
          <a:schemeClr val="accent5">
            <a:lumMod val="75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96A8733-7222-4738-ADF7-3E43640E3226}" type="TxLink">
            <a:rPr lang="en-US" sz="1100" b="0" i="0" u="none" strike="noStrike">
              <a:solidFill>
                <a:srgbClr val="000000"/>
              </a:solidFill>
              <a:latin typeface="Aptos Narrow"/>
              <a:ea typeface="+mn-ea"/>
              <a:cs typeface="+mn-cs"/>
            </a:rPr>
            <a:t>2400</a:t>
          </a:fld>
          <a:endParaRPr lang="en-US" sz="800" b="0" i="0" u="none" strike="noStrike">
            <a:solidFill>
              <a:srgbClr val="000000"/>
            </a:solidFill>
            <a:latin typeface="Aptos Narrow"/>
            <a:ea typeface="+mn-ea"/>
            <a:cs typeface="+mn-cs"/>
          </a:endParaRPr>
        </a:p>
      </xdr:txBody>
    </xdr:sp>
    <xdr:clientData/>
  </xdr:twoCellAnchor>
  <xdr:twoCellAnchor editAs="absolute">
    <xdr:from>
      <xdr:col>1</xdr:col>
      <xdr:colOff>872436</xdr:colOff>
      <xdr:row>11</xdr:row>
      <xdr:rowOff>44176</xdr:rowOff>
    </xdr:from>
    <xdr:to>
      <xdr:col>2</xdr:col>
      <xdr:colOff>265044</xdr:colOff>
      <xdr:row>12</xdr:row>
      <xdr:rowOff>55218</xdr:rowOff>
    </xdr:to>
    <xdr:sp macro="" textlink="'Pivot Table'!H9">
      <xdr:nvSpPr>
        <xdr:cNvPr id="7" name="Rectangle 6">
          <a:extLst>
            <a:ext uri="{FF2B5EF4-FFF2-40B4-BE49-F238E27FC236}">
              <a16:creationId xmlns:a16="http://schemas.microsoft.com/office/drawing/2014/main" id="{304DE055-6AF7-7A9D-2622-D23B75D6B142}"/>
            </a:ext>
          </a:extLst>
        </xdr:cNvPr>
        <xdr:cNvSpPr/>
      </xdr:nvSpPr>
      <xdr:spPr>
        <a:xfrm>
          <a:off x="1131958" y="2048567"/>
          <a:ext cx="441738" cy="193260"/>
        </a:xfrm>
        <a:prstGeom prst="rect">
          <a:avLst/>
        </a:prstGeom>
        <a:solidFill>
          <a:schemeClr val="accent5">
            <a:lumMod val="75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997A764-C610-42D9-9332-028EC99C42D5}" type="TxLink">
            <a:rPr lang="en-US" sz="800" b="0" i="0" u="none" strike="noStrike">
              <a:solidFill>
                <a:srgbClr val="000000"/>
              </a:solidFill>
              <a:latin typeface="Aptos Narrow"/>
              <a:ea typeface="+mn-ea"/>
              <a:cs typeface="+mn-cs"/>
            </a:rPr>
            <a:pPr marL="0" indent="0" algn="l"/>
            <a:t>12.0k</a:t>
          </a:fld>
          <a:endParaRPr lang="en-IN" sz="800" b="0" i="0" u="none" strike="noStrike">
            <a:solidFill>
              <a:srgbClr val="000000"/>
            </a:solidFill>
            <a:latin typeface="Aptos Narrow"/>
            <a:ea typeface="+mn-ea"/>
            <a:cs typeface="+mn-cs"/>
          </a:endParaRPr>
        </a:p>
      </xdr:txBody>
    </xdr:sp>
    <xdr:clientData/>
  </xdr:twoCellAnchor>
  <xdr:twoCellAnchor>
    <xdr:from>
      <xdr:col>1</xdr:col>
      <xdr:colOff>811695</xdr:colOff>
      <xdr:row>15</xdr:row>
      <xdr:rowOff>93869</xdr:rowOff>
    </xdr:from>
    <xdr:to>
      <xdr:col>3</xdr:col>
      <xdr:colOff>1</xdr:colOff>
      <xdr:row>17</xdr:row>
      <xdr:rowOff>44174</xdr:rowOff>
    </xdr:to>
    <xdr:sp macro="" textlink="'Pivot Table'!H12">
      <xdr:nvSpPr>
        <xdr:cNvPr id="8" name="Rectangle 7">
          <a:extLst>
            <a:ext uri="{FF2B5EF4-FFF2-40B4-BE49-F238E27FC236}">
              <a16:creationId xmlns:a16="http://schemas.microsoft.com/office/drawing/2014/main" id="{496252B7-5BDD-AD36-D78A-75687871A26F}"/>
            </a:ext>
          </a:extLst>
        </xdr:cNvPr>
        <xdr:cNvSpPr/>
      </xdr:nvSpPr>
      <xdr:spPr>
        <a:xfrm>
          <a:off x="1071217" y="2827130"/>
          <a:ext cx="519045" cy="314740"/>
        </a:xfrm>
        <a:prstGeom prst="rect">
          <a:avLst/>
        </a:prstGeom>
        <a:solidFill>
          <a:schemeClr val="accent5">
            <a:lumMod val="75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BE9116C-0BCF-4294-A815-64FD4578C835}" type="TxLink">
            <a:rPr lang="en-US" sz="800" b="0" i="0" u="none" strike="noStrike">
              <a:solidFill>
                <a:srgbClr val="000000"/>
              </a:solidFill>
              <a:latin typeface="Aptos Narrow"/>
              <a:ea typeface="+mn-ea"/>
              <a:cs typeface="+mn-cs"/>
            </a:rPr>
            <a:pPr marL="0" indent="0" algn="l"/>
            <a:t>$649.0k</a:t>
          </a:fld>
          <a:endParaRPr lang="en-IN" sz="800" b="0" i="0" u="none" strike="noStrike">
            <a:solidFill>
              <a:srgbClr val="000000"/>
            </a:solidFill>
            <a:latin typeface="Aptos Narrow"/>
            <a:ea typeface="+mn-ea"/>
            <a:cs typeface="+mn-cs"/>
          </a:endParaRPr>
        </a:p>
      </xdr:txBody>
    </xdr:sp>
    <xdr:clientData/>
  </xdr:twoCellAnchor>
  <xdr:twoCellAnchor editAs="absolute">
    <xdr:from>
      <xdr:col>1</xdr:col>
      <xdr:colOff>877957</xdr:colOff>
      <xdr:row>19</xdr:row>
      <xdr:rowOff>77305</xdr:rowOff>
    </xdr:from>
    <xdr:to>
      <xdr:col>2</xdr:col>
      <xdr:colOff>220870</xdr:colOff>
      <xdr:row>20</xdr:row>
      <xdr:rowOff>93870</xdr:rowOff>
    </xdr:to>
    <xdr:sp macro="" textlink="'Pivot Table'!H15">
      <xdr:nvSpPr>
        <xdr:cNvPr id="9" name="Rectangle 8">
          <a:extLst>
            <a:ext uri="{FF2B5EF4-FFF2-40B4-BE49-F238E27FC236}">
              <a16:creationId xmlns:a16="http://schemas.microsoft.com/office/drawing/2014/main" id="{3507668C-4D17-7A80-F8D5-C98D546D626A}"/>
            </a:ext>
          </a:extLst>
        </xdr:cNvPr>
        <xdr:cNvSpPr/>
      </xdr:nvSpPr>
      <xdr:spPr>
        <a:xfrm>
          <a:off x="1137479" y="3539435"/>
          <a:ext cx="392043" cy="198783"/>
        </a:xfrm>
        <a:prstGeom prst="rect">
          <a:avLst/>
        </a:prstGeom>
        <a:solidFill>
          <a:schemeClr val="accent5">
            <a:lumMod val="75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F9BBEB4-FF24-4335-BD75-B63E89F0B140}" type="TxLink">
            <a:rPr lang="en-US" sz="800" b="0" i="0" u="none" strike="noStrike">
              <a:solidFill>
                <a:srgbClr val="000000"/>
              </a:solidFill>
              <a:latin typeface="Aptos Narrow"/>
              <a:ea typeface="+mn-ea"/>
              <a:cs typeface="+mn-cs"/>
            </a:rPr>
            <a:pPr marL="0" indent="0" algn="l"/>
            <a:t>4.0</a:t>
          </a:fld>
          <a:endParaRPr lang="en-IN" sz="800" b="0" i="0" u="none" strike="noStrike">
            <a:solidFill>
              <a:srgbClr val="000000"/>
            </a:solidFill>
            <a:latin typeface="Aptos Narrow"/>
            <a:ea typeface="+mn-ea"/>
            <a:cs typeface="+mn-cs"/>
          </a:endParaRPr>
        </a:p>
      </xdr:txBody>
    </xdr:sp>
    <xdr:clientData/>
  </xdr:twoCellAnchor>
  <xdr:twoCellAnchor editAs="absolute">
    <xdr:from>
      <xdr:col>1</xdr:col>
      <xdr:colOff>872435</xdr:colOff>
      <xdr:row>24</xdr:row>
      <xdr:rowOff>110436</xdr:rowOff>
    </xdr:from>
    <xdr:to>
      <xdr:col>2</xdr:col>
      <xdr:colOff>215348</xdr:colOff>
      <xdr:row>25</xdr:row>
      <xdr:rowOff>127001</xdr:rowOff>
    </xdr:to>
    <xdr:sp macro="" textlink="'Pivot Table'!H18">
      <xdr:nvSpPr>
        <xdr:cNvPr id="16" name="Rectangle 15">
          <a:extLst>
            <a:ext uri="{FF2B5EF4-FFF2-40B4-BE49-F238E27FC236}">
              <a16:creationId xmlns:a16="http://schemas.microsoft.com/office/drawing/2014/main" id="{72A7B075-EB9C-51FE-AF4F-F240CE869AD7}"/>
            </a:ext>
          </a:extLst>
        </xdr:cNvPr>
        <xdr:cNvSpPr/>
      </xdr:nvSpPr>
      <xdr:spPr>
        <a:xfrm>
          <a:off x="1131957" y="4483653"/>
          <a:ext cx="392043" cy="198783"/>
        </a:xfrm>
        <a:prstGeom prst="rect">
          <a:avLst/>
        </a:prstGeom>
        <a:solidFill>
          <a:schemeClr val="accent5">
            <a:lumMod val="75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6D0E486-2780-46E5-B4E8-7522D1E7DE89}" type="TxLink">
            <a:rPr lang="en-US" sz="800" b="0" i="0" u="none" strike="noStrike">
              <a:solidFill>
                <a:srgbClr val="000000"/>
              </a:solidFill>
              <a:latin typeface="Aptos Narrow"/>
              <a:ea typeface="+mn-ea"/>
              <a:cs typeface="+mn-cs"/>
            </a:rPr>
            <a:t>2.3</a:t>
          </a:fld>
          <a:endParaRPr lang="en-IN" sz="800">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7</xdr:col>
          <xdr:colOff>317500</xdr:colOff>
          <xdr:row>22</xdr:row>
          <xdr:rowOff>6350</xdr:rowOff>
        </xdr:to>
        <xdr:pic>
          <xdr:nvPicPr>
            <xdr:cNvPr id="10" name="Picture 9">
              <a:extLst>
                <a:ext uri="{FF2B5EF4-FFF2-40B4-BE49-F238E27FC236}">
                  <a16:creationId xmlns:a16="http://schemas.microsoft.com/office/drawing/2014/main" id="{E5EF6470-B6F8-4A1B-4A87-7690A5331AED}"/>
                </a:ext>
              </a:extLst>
            </xdr:cNvPr>
            <xdr:cNvPicPr>
              <a:picLocks noChangeAspect="1" noChangeArrowheads="1"/>
              <a:extLst>
                <a:ext uri="{84589F7E-364E-4C9E-8A38-B11213B215E9}">
                  <a14:cameraTool cellRange="$H$4:$L$9" spid="_x0000_s4131"/>
                </a:ext>
              </a:extLst>
            </xdr:cNvPicPr>
          </xdr:nvPicPr>
          <xdr:blipFill>
            <a:blip xmlns:r="http://schemas.openxmlformats.org/officeDocument/2006/relationships" r:embed="rId1"/>
            <a:srcRect/>
            <a:stretch>
              <a:fillRect/>
            </a:stretch>
          </xdr:blipFill>
          <xdr:spPr bwMode="auto">
            <a:xfrm>
              <a:off x="2044700" y="2959100"/>
              <a:ext cx="3155950" cy="1111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na" refreshedDate="46208.520029861109" createdVersion="8" refreshedVersion="8" minRefreshableVersion="3" recordCount="2400" xr:uid="{36D86234-316D-4836-9870-E4470146D4EF}">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77211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5A100D-DF25-4920-A547-41A7C33107C8}"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8:J9" firstHeaderRow="1"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00149A-29CE-4B0D-8D25-8555076F13BA}" name="PvtD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7:H18" firstHeaderRow="1" firstDataRow="1" firstDataCol="0"/>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dataField="1" showAll="0"/>
    <pivotField showAll="0"/>
    <pivotField showAll="0"/>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ays to Deliver" fld="12" subtotal="average" baseField="0" baseItem="0" numFmtId="166"/>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183A4D-DD2D-4241-94D1-412786F7DBA0}" name="Pvtavg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4:H15" firstHeaderRow="1" firstDataRow="1" firstDataCol="0"/>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dataField="1" showAll="0"/>
    <pivotField showAll="0"/>
    <pivotField showAll="0"/>
    <pivotField showAll="0"/>
    <pivotField showAll="0"/>
    <pivotField showAll="0"/>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C" fld="9" subtotal="average" baseField="0" baseItem="0" numFmtId="166"/>
  </dataFields>
  <formats count="3">
    <format dxfId="4">
      <pivotArea type="all" dataOnly="0" outline="0" fieldPosition="0"/>
    </format>
    <format dxfId="5">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8122EA-2C5B-4116-BB8C-D8993673312C}" name="pvtam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1:H12" firstHeaderRow="1" firstDataRow="1" firstDataCol="0"/>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4" baseField="0" baseItem="0" numFmtId="164"/>
  </dataFields>
  <formats count="4">
    <format dxfId="9">
      <pivotArea type="all" dataOnly="0" outline="0" fieldPosition="0"/>
    </format>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7E511D-0400-4529-ACCA-DBA7BB70FC1F}"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8:H9" firstHeaderRow="1" firstDataRow="1" firstDataCol="0"/>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2" baseField="0" baseItem="0" numFmtId="18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7A6ADF-7FB9-4E45-AEEE-F1A9E071C04C}" name="PvtTable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numFmtId="165"/>
    <dataField name="Sum of Quantity" fld="2" baseField="0" baseItem="0" numFmtId="165"/>
    <dataField name="Sum of Amount" fld="4" baseField="0" baseItem="0" numFmtId="164"/>
    <dataField name="Average of Rating C" fld="9" subtotal="average" baseField="0" baseItem="0" numFmtId="166"/>
    <dataField name="Average of Days to Deliver" fld="12" subtotal="average" baseField="0" baseItem="0" numFmtId="166"/>
  </dataFields>
  <formats count="5">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11B966-68E9-4F0A-BD52-8D748BF749D2}" name="PvtOrder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8:F16"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pivotField axis="axisRow"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9DF0DB-5C22-49E1-A692-EACA7C39CC74}" name="PvtGeograph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9">
  <location ref="N9:Q67" firstHeaderRow="0" firstDataRow="1" firstDataCol="2"/>
  <pivotFields count="18">
    <pivotField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10" x="5"/>
        <item n="More Than 10" x="6"/>
      </items>
      <extLst>
        <ext xmlns:x14="http://schemas.microsoft.com/office/spreadsheetml/2009/9/main" uri="{2946ED86-A175-432a-8AC1-64E0C546D7DE}">
          <x14:pivotField fillDownLabels="1"/>
        </ext>
      </extLst>
    </pivotField>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numFmtId="169"/>
  </dataFields>
  <formats count="2">
    <format dxfId="21">
      <pivotArea outline="0" fieldPosition="0">
        <references count="1">
          <reference field="4294967294" count="1" selected="0">
            <x v="1"/>
          </reference>
        </references>
      </pivotArea>
    </format>
    <format dxfId="20">
      <pivotArea dataOnly="0" labelOnly="1" outline="0" fieldPosition="0">
        <references count="1">
          <reference field="4294967294" count="1">
            <x v="1"/>
          </reference>
        </references>
      </pivotArea>
    </format>
  </formats>
  <chartFormats count="1">
    <chartFormat chart="4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486F1E-5424-4B0B-9C43-111FCDF67726}" name="PvtRating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D48:J53"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n="6-10" x="5"/>
        <item n="More Than 1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26" format="10" series="1">
      <pivotArea type="data" outline="0" fieldPosition="0">
        <references count="2">
          <reference field="4294967294" count="1" selected="0">
            <x v="0"/>
          </reference>
          <reference field="9" count="1" selected="0">
            <x v="0"/>
          </reference>
        </references>
      </pivotArea>
    </chartFormat>
    <chartFormat chart="26" format="11" series="1">
      <pivotArea type="data" outline="0" fieldPosition="0">
        <references count="2">
          <reference field="4294967294" count="1" selected="0">
            <x v="0"/>
          </reference>
          <reference field="9" count="1" selected="0">
            <x v="1"/>
          </reference>
        </references>
      </pivotArea>
    </chartFormat>
    <chartFormat chart="26" format="12" series="1">
      <pivotArea type="data" outline="0" fieldPosition="0">
        <references count="2">
          <reference field="4294967294" count="1" selected="0">
            <x v="0"/>
          </reference>
          <reference field="9" count="1" selected="0">
            <x v="2"/>
          </reference>
        </references>
      </pivotArea>
    </chartFormat>
    <chartFormat chart="26" format="13" series="1">
      <pivotArea type="data" outline="0" fieldPosition="0">
        <references count="2">
          <reference field="4294967294" count="1" selected="0">
            <x v="0"/>
          </reference>
          <reference field="9" count="1" selected="0">
            <x v="3"/>
          </reference>
        </references>
      </pivotArea>
    </chartFormat>
    <chartFormat chart="26"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C189D9-402F-4C07-AA71-E94E1FB32CB8}" name="PvtWeekl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C21"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numFmtId="165"/>
    <dataField name="Sum of Amount" fld="4" baseField="0" baseItem="0" numFmtId="167"/>
  </dataFields>
  <formats count="3">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1"/>
          </reference>
        </references>
      </pivotArea>
    </format>
    <format dxfId="22">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8D3C81-4924-43ED-991C-D78687970DAE}" name="PvtDelivery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B64"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81C142-16B8-4E9C-B3B0-E5B8625FA1B0}" name="PvtGender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P2:Q7"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1">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0"/>
          </reference>
          <reference field="14" count="1" selected="0">
            <x v="3"/>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4" format="3" series="1">
      <pivotArea type="data" outline="0" fieldPosition="0">
        <references count="2">
          <reference field="4294967294" count="1" selected="0">
            <x v="0"/>
          </reference>
          <reference field="14" count="1" selected="0">
            <x v="3"/>
          </reference>
        </references>
      </pivotArea>
    </chartFormat>
    <chartFormat chart="21" format="0" series="1">
      <pivotArea type="data" outline="0" fieldPosition="0">
        <references count="2">
          <reference field="4294967294" count="1" selected="0">
            <x v="0"/>
          </reference>
          <reference field="14" count="1" selected="0">
            <x v="0"/>
          </reference>
        </references>
      </pivotArea>
    </chartFormat>
    <chartFormat chart="21" format="1" series="1">
      <pivotArea type="data" outline="0" fieldPosition="0">
        <references count="2">
          <reference field="4294967294" count="1" selected="0">
            <x v="0"/>
          </reference>
          <reference field="14" count="1" selected="0">
            <x v="1"/>
          </reference>
        </references>
      </pivotArea>
    </chartFormat>
    <chartFormat chart="21" format="2" series="1">
      <pivotArea type="data" outline="0" fieldPosition="0">
        <references count="2">
          <reference field="4294967294" count="1" selected="0">
            <x v="0"/>
          </reference>
          <reference field="14" count="1" selected="0">
            <x v="2"/>
          </reference>
        </references>
      </pivotArea>
    </chartFormat>
    <chartFormat chart="21" format="3" series="1">
      <pivotArea type="data" outline="0" fieldPosition="0">
        <references count="2">
          <reference field="4294967294" count="1" selected="0">
            <x v="0"/>
          </reference>
          <reference field="14" count="1" selected="0">
            <x v="3"/>
          </reference>
        </references>
      </pivotArea>
    </chartFormat>
    <chartFormat chart="24" format="8" series="1">
      <pivotArea type="data" outline="0" fieldPosition="0">
        <references count="2">
          <reference field="4294967294" count="1" selected="0">
            <x v="0"/>
          </reference>
          <reference field="14" count="1" selected="0">
            <x v="0"/>
          </reference>
        </references>
      </pivotArea>
    </chartFormat>
    <chartFormat chart="24" format="9" series="1">
      <pivotArea type="data" outline="0" fieldPosition="0">
        <references count="2">
          <reference field="4294967294" count="1" selected="0">
            <x v="0"/>
          </reference>
          <reference field="14" count="1" selected="0">
            <x v="1"/>
          </reference>
        </references>
      </pivotArea>
    </chartFormat>
    <chartFormat chart="24" format="10" series="1">
      <pivotArea type="data" outline="0" fieldPosition="0">
        <references count="2">
          <reference field="4294967294" count="1" selected="0">
            <x v="0"/>
          </reference>
          <reference field="14" count="1" selected="0">
            <x v="2"/>
          </reference>
        </references>
      </pivotArea>
    </chartFormat>
    <chartFormat chart="24" format="11" series="1">
      <pivotArea type="data" outline="0" fieldPosition="0">
        <references count="2">
          <reference field="4294967294" count="1" selected="0">
            <x v="0"/>
          </reference>
          <reference field="14" count="1" selected="0">
            <x v="3"/>
          </reference>
        </references>
      </pivotArea>
    </chartFormat>
    <chartFormat chart="48" format="10" series="1">
      <pivotArea type="data" outline="0" fieldPosition="0">
        <references count="1">
          <reference field="4294967294" count="1" selected="0">
            <x v="0"/>
          </reference>
        </references>
      </pivotArea>
    </chartFormat>
    <chartFormat chart="48" format="11">
      <pivotArea type="data" outline="0" fieldPosition="0">
        <references count="2">
          <reference field="4294967294" count="1" selected="0">
            <x v="0"/>
          </reference>
          <reference field="14" count="1" selected="0">
            <x v="0"/>
          </reference>
        </references>
      </pivotArea>
    </chartFormat>
    <chartFormat chart="48" format="12">
      <pivotArea type="data" outline="0" fieldPosition="0">
        <references count="2">
          <reference field="4294967294" count="1" selected="0">
            <x v="0"/>
          </reference>
          <reference field="14" count="1" selected="0">
            <x v="1"/>
          </reference>
        </references>
      </pivotArea>
    </chartFormat>
    <chartFormat chart="48" format="13">
      <pivotArea type="data" outline="0" fieldPosition="0">
        <references count="2">
          <reference field="4294967294" count="1" selected="0">
            <x v="0"/>
          </reference>
          <reference field="14" count="1" selected="0">
            <x v="2"/>
          </reference>
        </references>
      </pivotArea>
    </chartFormat>
    <chartFormat chart="48"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FCE79D-C2F8-433F-B119-83ABA576DF35}" name="pvtPopular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3:F45"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24" format="8" series="1">
      <pivotArea type="data" outline="0" fieldPosition="0">
        <references count="2">
          <reference field="4294967294" count="1" selected="0">
            <x v="0"/>
          </reference>
          <reference field="14" count="1" selected="0">
            <x v="0"/>
          </reference>
        </references>
      </pivotArea>
    </chartFormat>
    <chartFormat chart="24" format="9" series="1">
      <pivotArea type="data" outline="0" fieldPosition="0">
        <references count="2">
          <reference field="4294967294" count="1" selected="0">
            <x v="0"/>
          </reference>
          <reference field="14" count="1" selected="0">
            <x v="1"/>
          </reference>
        </references>
      </pivotArea>
    </chartFormat>
    <chartFormat chart="24" format="10" series="1">
      <pivotArea type="data" outline="0" fieldPosition="0">
        <references count="2">
          <reference field="4294967294" count="1" selected="0">
            <x v="0"/>
          </reference>
          <reference field="14" count="1" selected="0">
            <x v="2"/>
          </reference>
        </references>
      </pivotArea>
    </chartFormat>
    <chartFormat chart="2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E008DC-0353-4207-9E51-5787FAC549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4634F8E-7DD0-4E2B-9FE9-BA244FDAA90F}" sourceName="Order Mode">
  <pivotTables>
    <pivotTable tabId="5" name="pvtPopularProducts"/>
    <pivotTable tabId="5" name="PvtDeliveryTime"/>
    <pivotTable tabId="5" name="PvtGenderBased"/>
    <pivotTable tabId="5" name="PvtOrderValue"/>
    <pivotTable tabId="5" name="PvtRatings"/>
    <pivotTable tabId="5" name="PvtTableSummary"/>
    <pivotTable tabId="5" name="PvtWeeklySales"/>
    <pivotTable tabId="7" name="PivotTable1"/>
    <pivotTable tabId="5" name="PvtGeography"/>
  </pivotTables>
  <data>
    <tabular pivotCacheId="17721119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75B14E6-316C-49FC-97F0-9AB6369E4F6C}" sourceName="Gender Value">
  <pivotTables>
    <pivotTable tabId="5" name="PvtRatings"/>
    <pivotTable tabId="5" name="PvtTableSummary"/>
    <pivotTable tabId="5" name="PvtDeliveryTime"/>
    <pivotTable tabId="5" name="PvtWeeklySales"/>
    <pivotTable tabId="5" name="PvtGenderBased"/>
    <pivotTable tabId="7" name="PivotTable1"/>
    <pivotTable tabId="5" name="PvtGeography"/>
  </pivotTables>
  <data>
    <tabular pivotCacheId="17721119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5B47F22-F11C-4968-BBF1-567C6DD13273}" cache="Slicer_Order_Mode" caption="Order Mode" style="SlicerStyleDark2" rowHeight="251883"/>
  <slicer name="Gender Value" xr10:uid="{C9CD4089-B5DF-40F5-ACD8-B739F32C3346}" cache="Slicer_Gender_Value" caption="Gender Value" style="SlicerStyleDark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4"/>
    <tableColumn id="7" xr3:uid="{43BB5DBF-46E1-4185-80C0-4361F55A385C}" name="Ship Date" dataDxfId="1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12">
      <calculatedColumnFormula>orders[[#This Row],[Ship Date]]-orders[[#This Row],[Order Date]]</calculatedColumnFormula>
    </tableColumn>
    <tableColumn id="12" xr3:uid="{B071C0DA-87A9-4516-B4D9-4F5B7D3FF44A}" name="Weeknum" dataDxfId="11">
      <calculatedColumnFormula>WEEKNUM(orders[[#This Row],[Order Date]])</calculatedColumnFormula>
    </tableColumn>
    <tableColumn id="13" xr3:uid="{B8EA9E28-7541-4E76-9935-C26438661A18}" name="Gender Value" dataDxfId="1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E30" sqref="E30"/>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0A00-450A-4277-9A78-5F7419EBA9C8}">
  <dimension ref="A2:Y129"/>
  <sheetViews>
    <sheetView zoomScale="59" zoomScaleNormal="59" workbookViewId="0">
      <selection activeCell="J8" sqref="J8:J9"/>
    </sheetView>
  </sheetViews>
  <sheetFormatPr defaultRowHeight="14.5" x14ac:dyDescent="0.35"/>
  <cols>
    <col min="1" max="2" width="14.26953125" bestFit="1" customWidth="1"/>
    <col min="3" max="3" width="13.6328125" bestFit="1" customWidth="1"/>
    <col min="4" max="4" width="16.81640625" bestFit="1" customWidth="1"/>
    <col min="5" max="5" width="22.54296875" bestFit="1" customWidth="1"/>
    <col min="6" max="6" width="12.54296875" bestFit="1" customWidth="1"/>
    <col min="7" max="7" width="22.36328125" bestFit="1" customWidth="1"/>
    <col min="8" max="9" width="14.26953125" bestFit="1" customWidth="1"/>
    <col min="10" max="11" width="13.6328125" bestFit="1" customWidth="1"/>
    <col min="13" max="13" width="10.36328125" bestFit="1" customWidth="1"/>
    <col min="14" max="14" width="25.54296875" bestFit="1" customWidth="1"/>
    <col min="15" max="15" width="20.54296875" bestFit="1" customWidth="1"/>
    <col min="16" max="16" width="14.26953125" bestFit="1" customWidth="1"/>
    <col min="17" max="17" width="14.6328125" bestFit="1" customWidth="1"/>
    <col min="19" max="19" width="12.453125" bestFit="1" customWidth="1"/>
    <col min="20" max="20" width="23.36328125" bestFit="1" customWidth="1"/>
    <col min="21" max="21" width="19.7265625" bestFit="1" customWidth="1"/>
    <col min="23" max="23" width="10.81640625" bestFit="1" customWidth="1"/>
    <col min="24" max="24" width="19.81640625" bestFit="1" customWidth="1"/>
    <col min="25" max="25" width="14.26953125" bestFit="1" customWidth="1"/>
    <col min="26" max="26" width="13.6328125" bestFit="1" customWidth="1"/>
  </cols>
  <sheetData>
    <row r="2" spans="1:25" x14ac:dyDescent="0.35">
      <c r="G2" t="s">
        <v>2523</v>
      </c>
      <c r="P2" s="8" t="s">
        <v>2528</v>
      </c>
      <c r="Q2" t="s">
        <v>2520</v>
      </c>
    </row>
    <row r="3" spans="1:25" x14ac:dyDescent="0.35">
      <c r="A3" t="s">
        <v>2519</v>
      </c>
      <c r="B3" t="s">
        <v>2520</v>
      </c>
      <c r="C3" t="s">
        <v>2521</v>
      </c>
      <c r="D3" t="s">
        <v>2522</v>
      </c>
      <c r="E3" t="s">
        <v>2526</v>
      </c>
      <c r="G3" t="s">
        <v>2518</v>
      </c>
      <c r="H3" t="s">
        <v>2524</v>
      </c>
      <c r="I3" t="s">
        <v>4</v>
      </c>
      <c r="J3" t="s">
        <v>2525</v>
      </c>
      <c r="K3" t="s">
        <v>2527</v>
      </c>
      <c r="P3" s="9" t="s">
        <v>2531</v>
      </c>
      <c r="Q3" s="25">
        <v>6272</v>
      </c>
    </row>
    <row r="4" spans="1:25" x14ac:dyDescent="0.35">
      <c r="A4" s="6">
        <v>2400</v>
      </c>
      <c r="B4" s="6">
        <v>11997</v>
      </c>
      <c r="C4" s="5">
        <v>649019.80000000144</v>
      </c>
      <c r="D4" s="7">
        <v>3.9620833333333332</v>
      </c>
      <c r="E4" s="7">
        <v>2.3424999999999998</v>
      </c>
      <c r="G4" t="str">
        <f>TEXT(A4,"#,###")</f>
        <v>2,400</v>
      </c>
      <c r="H4" t="str">
        <f>TEXT(B4,"##,###")</f>
        <v>11,997</v>
      </c>
      <c r="I4" s="5" t="str">
        <f>TEXT(C4,"$#,##.0k")</f>
        <v>$6,49,019.8k</v>
      </c>
      <c r="J4" t="str">
        <f t="shared" ref="J4:K4" si="0">TEXT(D4,"##,###")</f>
        <v>4</v>
      </c>
      <c r="K4" t="str">
        <f t="shared" si="0"/>
        <v>2</v>
      </c>
      <c r="P4" s="9" t="s">
        <v>2532</v>
      </c>
      <c r="Q4" s="25">
        <v>4672</v>
      </c>
    </row>
    <row r="5" spans="1:25" x14ac:dyDescent="0.35">
      <c r="P5" s="9" t="s">
        <v>2533</v>
      </c>
      <c r="Q5" s="25">
        <v>317</v>
      </c>
    </row>
    <row r="6" spans="1:25" x14ac:dyDescent="0.35">
      <c r="P6" s="9" t="s">
        <v>2534</v>
      </c>
      <c r="Q6" s="25">
        <v>736</v>
      </c>
    </row>
    <row r="7" spans="1:25" x14ac:dyDescent="0.35">
      <c r="A7" s="8" t="s">
        <v>2528</v>
      </c>
      <c r="B7" t="s">
        <v>2520</v>
      </c>
      <c r="C7" t="s">
        <v>2521</v>
      </c>
      <c r="P7" s="9" t="s">
        <v>2529</v>
      </c>
      <c r="Q7" s="25">
        <v>11997</v>
      </c>
    </row>
    <row r="8" spans="1:25" x14ac:dyDescent="0.35">
      <c r="A8" s="9">
        <v>1</v>
      </c>
      <c r="B8" s="6">
        <v>546</v>
      </c>
      <c r="C8" s="10">
        <v>32413.300000000003</v>
      </c>
      <c r="E8" s="8" t="s">
        <v>2528</v>
      </c>
      <c r="F8" t="s">
        <v>2519</v>
      </c>
      <c r="H8" t="s">
        <v>2520</v>
      </c>
      <c r="J8" t="s">
        <v>2519</v>
      </c>
    </row>
    <row r="9" spans="1:25" x14ac:dyDescent="0.35">
      <c r="A9" s="9">
        <v>2</v>
      </c>
      <c r="B9" s="6">
        <v>905</v>
      </c>
      <c r="C9" s="10">
        <v>49562.999999999993</v>
      </c>
      <c r="E9" s="9">
        <v>1</v>
      </c>
      <c r="F9" s="25">
        <v>397</v>
      </c>
      <c r="H9" s="27">
        <v>11997</v>
      </c>
      <c r="J9" s="25">
        <v>2400</v>
      </c>
      <c r="N9" s="8" t="s">
        <v>10</v>
      </c>
      <c r="O9" s="8" t="s">
        <v>11</v>
      </c>
      <c r="P9" t="s">
        <v>2520</v>
      </c>
      <c r="Q9" s="24" t="s">
        <v>2521</v>
      </c>
      <c r="S9" t="str">
        <f t="shared" ref="S9" si="1">N9</f>
        <v>State</v>
      </c>
      <c r="T9" t="str">
        <f t="shared" ref="T9" si="2">O9</f>
        <v>County</v>
      </c>
      <c r="U9" s="24" t="str">
        <f t="shared" ref="U9:U38" si="3">Q9</f>
        <v>Sum of Amount</v>
      </c>
      <c r="W9" t="str">
        <f>N9</f>
        <v>State</v>
      </c>
      <c r="X9" t="str">
        <f>O9</f>
        <v>County</v>
      </c>
      <c r="Y9" t="str">
        <f>P9</f>
        <v>Sum of Quantity</v>
      </c>
    </row>
    <row r="10" spans="1:25" x14ac:dyDescent="0.35">
      <c r="A10" s="9">
        <v>3</v>
      </c>
      <c r="B10" s="6">
        <v>796</v>
      </c>
      <c r="C10" s="10">
        <v>41700.400000000016</v>
      </c>
      <c r="E10" s="9">
        <v>2</v>
      </c>
      <c r="F10" s="25">
        <v>540</v>
      </c>
      <c r="N10" t="s">
        <v>19</v>
      </c>
      <c r="O10" t="s">
        <v>115</v>
      </c>
      <c r="P10" s="25">
        <v>579</v>
      </c>
      <c r="Q10" s="24">
        <v>31884.999999999996</v>
      </c>
      <c r="S10" s="22" t="str">
        <f>IF(N10="","",N10)</f>
        <v>California</v>
      </c>
      <c r="T10" s="22" t="str">
        <f>IF(O10="","",O10)</f>
        <v>Alameda County</v>
      </c>
      <c r="U10" s="24">
        <f t="shared" si="3"/>
        <v>31884.999999999996</v>
      </c>
      <c r="W10" t="str">
        <f>IF(N10="","",N10)</f>
        <v>California</v>
      </c>
      <c r="X10" t="str">
        <f>IF(O10="","",O10)</f>
        <v>Alameda County</v>
      </c>
      <c r="Y10">
        <f t="shared" ref="Y10:Y38" si="4">P10</f>
        <v>579</v>
      </c>
    </row>
    <row r="11" spans="1:25" x14ac:dyDescent="0.35">
      <c r="A11" s="9">
        <v>4</v>
      </c>
      <c r="B11" s="6">
        <v>913</v>
      </c>
      <c r="C11" s="10">
        <v>46782.599999999984</v>
      </c>
      <c r="E11" s="9">
        <v>3</v>
      </c>
      <c r="F11" s="25">
        <v>375</v>
      </c>
      <c r="H11" s="26" t="s">
        <v>2521</v>
      </c>
      <c r="N11" t="s">
        <v>19</v>
      </c>
      <c r="O11" t="s">
        <v>20</v>
      </c>
      <c r="P11" s="25">
        <v>1</v>
      </c>
      <c r="Q11" s="24">
        <v>10.9</v>
      </c>
      <c r="S11" s="22" t="str">
        <f t="shared" ref="S11:T38" si="5">IF(N11="","",N11)</f>
        <v>California</v>
      </c>
      <c r="T11" s="22" t="str">
        <f t="shared" si="5"/>
        <v>Alpine County</v>
      </c>
      <c r="U11" s="24">
        <f t="shared" si="3"/>
        <v>10.9</v>
      </c>
      <c r="W11" t="str">
        <f t="shared" ref="W11:X38" si="6">IF(N11="","",N11)</f>
        <v>California</v>
      </c>
      <c r="X11" t="str">
        <f t="shared" si="6"/>
        <v>Alpine County</v>
      </c>
      <c r="Y11">
        <f t="shared" si="4"/>
        <v>1</v>
      </c>
    </row>
    <row r="12" spans="1:25" x14ac:dyDescent="0.35">
      <c r="A12" s="9">
        <v>5</v>
      </c>
      <c r="B12" s="6">
        <v>844</v>
      </c>
      <c r="C12" s="10">
        <v>42676.100000000006</v>
      </c>
      <c r="E12" s="9">
        <v>4</v>
      </c>
      <c r="F12" s="25">
        <v>246</v>
      </c>
      <c r="H12" s="5">
        <v>649019.80000000144</v>
      </c>
      <c r="N12" t="s">
        <v>19</v>
      </c>
      <c r="O12" t="s">
        <v>641</v>
      </c>
      <c r="P12" s="25">
        <v>9</v>
      </c>
      <c r="Q12" s="24">
        <v>800.3</v>
      </c>
      <c r="S12" s="22" t="str">
        <f t="shared" si="5"/>
        <v>California</v>
      </c>
      <c r="T12" s="22" t="str">
        <f t="shared" si="5"/>
        <v>Amador County</v>
      </c>
      <c r="U12" s="24">
        <f t="shared" si="3"/>
        <v>800.3</v>
      </c>
      <c r="W12" t="str">
        <f t="shared" si="6"/>
        <v>California</v>
      </c>
      <c r="X12" t="str">
        <f t="shared" si="6"/>
        <v>Amador County</v>
      </c>
      <c r="Y12">
        <f t="shared" si="4"/>
        <v>9</v>
      </c>
    </row>
    <row r="13" spans="1:25" x14ac:dyDescent="0.35">
      <c r="A13" s="9">
        <v>6</v>
      </c>
      <c r="B13" s="6">
        <v>1202</v>
      </c>
      <c r="C13" s="10">
        <v>62910.7</v>
      </c>
      <c r="E13" s="9">
        <v>5</v>
      </c>
      <c r="F13" s="25">
        <v>195</v>
      </c>
      <c r="N13" t="s">
        <v>19</v>
      </c>
      <c r="O13" t="s">
        <v>967</v>
      </c>
      <c r="P13" s="25">
        <v>35</v>
      </c>
      <c r="Q13" s="24">
        <v>1062.5999999999999</v>
      </c>
      <c r="S13" s="22" t="str">
        <f t="shared" si="5"/>
        <v>California</v>
      </c>
      <c r="T13" s="22" t="str">
        <f t="shared" si="5"/>
        <v>Butte County</v>
      </c>
      <c r="U13" s="24">
        <f t="shared" si="3"/>
        <v>1062.5999999999999</v>
      </c>
      <c r="W13" t="str">
        <f t="shared" si="6"/>
        <v>California</v>
      </c>
      <c r="X13" t="str">
        <f t="shared" si="6"/>
        <v>Butte County</v>
      </c>
      <c r="Y13">
        <f t="shared" si="4"/>
        <v>35</v>
      </c>
    </row>
    <row r="14" spans="1:25" x14ac:dyDescent="0.35">
      <c r="A14" s="9">
        <v>7</v>
      </c>
      <c r="B14" s="6">
        <v>935</v>
      </c>
      <c r="C14" s="10">
        <v>50332.200000000004</v>
      </c>
      <c r="E14" s="9" t="s">
        <v>2535</v>
      </c>
      <c r="F14" s="25">
        <v>414</v>
      </c>
      <c r="H14" s="26" t="s">
        <v>2522</v>
      </c>
      <c r="N14" t="s">
        <v>19</v>
      </c>
      <c r="O14" t="s">
        <v>84</v>
      </c>
      <c r="P14" s="25">
        <v>12</v>
      </c>
      <c r="Q14" s="24">
        <v>326.20000000000005</v>
      </c>
      <c r="S14" s="22" t="str">
        <f t="shared" si="5"/>
        <v>California</v>
      </c>
      <c r="T14" s="22" t="str">
        <f t="shared" si="5"/>
        <v>Calaveras County</v>
      </c>
      <c r="U14" s="24">
        <f t="shared" si="3"/>
        <v>326.20000000000005</v>
      </c>
      <c r="W14" t="str">
        <f t="shared" si="6"/>
        <v>California</v>
      </c>
      <c r="X14" t="str">
        <f t="shared" si="6"/>
        <v>Calaveras County</v>
      </c>
      <c r="Y14">
        <f t="shared" si="4"/>
        <v>12</v>
      </c>
    </row>
    <row r="15" spans="1:25" x14ac:dyDescent="0.35">
      <c r="A15" s="9">
        <v>8</v>
      </c>
      <c r="B15" s="6">
        <v>1128</v>
      </c>
      <c r="C15" s="10">
        <v>58760.599999999977</v>
      </c>
      <c r="E15" s="9" t="s">
        <v>2536</v>
      </c>
      <c r="F15" s="25">
        <v>233</v>
      </c>
      <c r="H15" s="7">
        <v>3.9620833333333332</v>
      </c>
      <c r="N15" t="s">
        <v>19</v>
      </c>
      <c r="O15" t="s">
        <v>1383</v>
      </c>
      <c r="P15" s="25">
        <v>4</v>
      </c>
      <c r="Q15" s="24">
        <v>167.5</v>
      </c>
      <c r="S15" s="22" t="str">
        <f t="shared" si="5"/>
        <v>California</v>
      </c>
      <c r="T15" s="22" t="str">
        <f t="shared" si="5"/>
        <v>Colusa County</v>
      </c>
      <c r="U15" s="24">
        <f t="shared" si="3"/>
        <v>167.5</v>
      </c>
      <c r="W15" t="str">
        <f t="shared" si="6"/>
        <v>California</v>
      </c>
      <c r="X15" t="str">
        <f t="shared" si="6"/>
        <v>Colusa County</v>
      </c>
      <c r="Y15">
        <f t="shared" si="4"/>
        <v>4</v>
      </c>
    </row>
    <row r="16" spans="1:25" x14ac:dyDescent="0.35">
      <c r="A16" s="9">
        <v>9</v>
      </c>
      <c r="B16" s="6">
        <v>1007</v>
      </c>
      <c r="C16" s="10">
        <v>52017.299999999996</v>
      </c>
      <c r="E16" s="9" t="s">
        <v>2529</v>
      </c>
      <c r="F16" s="25">
        <v>2400</v>
      </c>
      <c r="N16" t="s">
        <v>19</v>
      </c>
      <c r="O16" t="s">
        <v>24</v>
      </c>
      <c r="P16" s="25">
        <v>341</v>
      </c>
      <c r="Q16" s="24">
        <v>16168.7</v>
      </c>
      <c r="S16" s="22" t="str">
        <f t="shared" si="5"/>
        <v>California</v>
      </c>
      <c r="T16" s="22" t="str">
        <f t="shared" si="5"/>
        <v>Contra Costa County</v>
      </c>
      <c r="U16" s="24">
        <f t="shared" si="3"/>
        <v>16168.7</v>
      </c>
      <c r="W16" t="str">
        <f t="shared" si="6"/>
        <v>California</v>
      </c>
      <c r="X16" t="str">
        <f t="shared" si="6"/>
        <v>Contra Costa County</v>
      </c>
      <c r="Y16">
        <f t="shared" si="4"/>
        <v>341</v>
      </c>
    </row>
    <row r="17" spans="1:25" x14ac:dyDescent="0.35">
      <c r="A17" s="9">
        <v>10</v>
      </c>
      <c r="B17" s="6">
        <v>1128</v>
      </c>
      <c r="C17" s="10">
        <v>64915.700000000033</v>
      </c>
      <c r="H17" s="25" t="s">
        <v>2526</v>
      </c>
      <c r="N17" t="s">
        <v>19</v>
      </c>
      <c r="O17" t="s">
        <v>2204</v>
      </c>
      <c r="P17" s="25">
        <v>13</v>
      </c>
      <c r="Q17" s="24">
        <v>322.40000000000003</v>
      </c>
      <c r="S17" s="22" t="str">
        <f t="shared" si="5"/>
        <v>California</v>
      </c>
      <c r="T17" s="22" t="str">
        <f t="shared" si="5"/>
        <v>Del Norte County</v>
      </c>
      <c r="U17" s="24">
        <f t="shared" si="3"/>
        <v>322.40000000000003</v>
      </c>
      <c r="W17" t="str">
        <f t="shared" si="6"/>
        <v>California</v>
      </c>
      <c r="X17" t="str">
        <f t="shared" si="6"/>
        <v>Del Norte County</v>
      </c>
      <c r="Y17">
        <f t="shared" si="4"/>
        <v>13</v>
      </c>
    </row>
    <row r="18" spans="1:25" x14ac:dyDescent="0.35">
      <c r="A18" s="9">
        <v>11</v>
      </c>
      <c r="B18" s="6">
        <v>861</v>
      </c>
      <c r="C18" s="10">
        <v>45943.80000000001</v>
      </c>
      <c r="H18" s="7">
        <v>2.3424999999999998</v>
      </c>
      <c r="N18" t="s">
        <v>19</v>
      </c>
      <c r="O18" t="s">
        <v>437</v>
      </c>
      <c r="P18" s="25">
        <v>31</v>
      </c>
      <c r="Q18" s="24">
        <v>2092.8000000000002</v>
      </c>
      <c r="S18" s="22" t="str">
        <f t="shared" si="5"/>
        <v>California</v>
      </c>
      <c r="T18" s="22" t="str">
        <f t="shared" si="5"/>
        <v>El Dorado County</v>
      </c>
      <c r="U18" s="24">
        <f t="shared" si="3"/>
        <v>2092.8000000000002</v>
      </c>
      <c r="W18" t="str">
        <f t="shared" si="6"/>
        <v>California</v>
      </c>
      <c r="X18" t="str">
        <f t="shared" si="6"/>
        <v>El Dorado County</v>
      </c>
      <c r="Y18">
        <f t="shared" si="4"/>
        <v>31</v>
      </c>
    </row>
    <row r="19" spans="1:25" x14ac:dyDescent="0.35">
      <c r="A19" s="9">
        <v>12</v>
      </c>
      <c r="B19" s="6">
        <v>944</v>
      </c>
      <c r="C19" s="10">
        <v>55077.900000000031</v>
      </c>
      <c r="N19" t="s">
        <v>19</v>
      </c>
      <c r="O19" t="s">
        <v>28</v>
      </c>
      <c r="P19" s="25">
        <v>279</v>
      </c>
      <c r="Q19" s="24">
        <v>12662.500000000002</v>
      </c>
      <c r="S19" s="22" t="str">
        <f t="shared" si="5"/>
        <v>California</v>
      </c>
      <c r="T19" s="22" t="str">
        <f t="shared" si="5"/>
        <v>Fresno County</v>
      </c>
      <c r="U19" s="24">
        <f t="shared" si="3"/>
        <v>12662.500000000002</v>
      </c>
      <c r="W19" t="str">
        <f t="shared" si="6"/>
        <v>California</v>
      </c>
      <c r="X19" t="str">
        <f t="shared" si="6"/>
        <v>Fresno County</v>
      </c>
      <c r="Y19">
        <f t="shared" si="4"/>
        <v>279</v>
      </c>
    </row>
    <row r="20" spans="1:25" x14ac:dyDescent="0.35">
      <c r="A20" s="9">
        <v>13</v>
      </c>
      <c r="B20" s="6">
        <v>788</v>
      </c>
      <c r="C20" s="10">
        <v>45926.19999999999</v>
      </c>
      <c r="N20" t="s">
        <v>19</v>
      </c>
      <c r="O20" t="s">
        <v>208</v>
      </c>
      <c r="P20" s="25">
        <v>9</v>
      </c>
      <c r="Q20" s="24">
        <v>343.2</v>
      </c>
      <c r="S20" s="22" t="str">
        <f t="shared" si="5"/>
        <v>California</v>
      </c>
      <c r="T20" s="22" t="str">
        <f t="shared" si="5"/>
        <v>Glenn County</v>
      </c>
      <c r="U20" s="24">
        <f t="shared" si="3"/>
        <v>343.2</v>
      </c>
      <c r="W20" t="str">
        <f t="shared" si="6"/>
        <v>California</v>
      </c>
      <c r="X20" t="str">
        <f t="shared" si="6"/>
        <v>Glenn County</v>
      </c>
      <c r="Y20">
        <f t="shared" si="4"/>
        <v>9</v>
      </c>
    </row>
    <row r="21" spans="1:25" x14ac:dyDescent="0.35">
      <c r="A21" s="9" t="s">
        <v>2529</v>
      </c>
      <c r="B21" s="6">
        <v>11997</v>
      </c>
      <c r="C21" s="10">
        <v>649019.79999999993</v>
      </c>
      <c r="N21" t="s">
        <v>19</v>
      </c>
      <c r="O21" t="s">
        <v>587</v>
      </c>
      <c r="P21" s="25">
        <v>49</v>
      </c>
      <c r="Q21" s="24">
        <v>2188.2999999999997</v>
      </c>
      <c r="S21" s="22" t="str">
        <f t="shared" si="5"/>
        <v>California</v>
      </c>
      <c r="T21" s="22" t="str">
        <f t="shared" si="5"/>
        <v>Humboldt County</v>
      </c>
      <c r="U21" s="24">
        <f t="shared" si="3"/>
        <v>2188.2999999999997</v>
      </c>
      <c r="W21" t="str">
        <f t="shared" si="6"/>
        <v>California</v>
      </c>
      <c r="X21" t="str">
        <f t="shared" si="6"/>
        <v>Humboldt County</v>
      </c>
      <c r="Y21">
        <f t="shared" si="4"/>
        <v>49</v>
      </c>
    </row>
    <row r="22" spans="1:25" x14ac:dyDescent="0.35">
      <c r="N22" t="s">
        <v>19</v>
      </c>
      <c r="O22" t="s">
        <v>331</v>
      </c>
      <c r="P22" s="25">
        <v>59</v>
      </c>
      <c r="Q22" s="24">
        <v>2661.5999999999995</v>
      </c>
      <c r="S22" s="22" t="str">
        <f t="shared" si="5"/>
        <v>California</v>
      </c>
      <c r="T22" s="22" t="str">
        <f t="shared" si="5"/>
        <v>Imperial County</v>
      </c>
      <c r="U22" s="24">
        <f t="shared" si="3"/>
        <v>2661.5999999999995</v>
      </c>
      <c r="W22" t="str">
        <f t="shared" si="6"/>
        <v>California</v>
      </c>
      <c r="X22" t="str">
        <f t="shared" si="6"/>
        <v>Imperial County</v>
      </c>
      <c r="Y22">
        <f t="shared" si="4"/>
        <v>59</v>
      </c>
    </row>
    <row r="23" spans="1:25" x14ac:dyDescent="0.35">
      <c r="A23" s="8" t="s">
        <v>2520</v>
      </c>
      <c r="B23" s="8" t="s">
        <v>2530</v>
      </c>
      <c r="N23" t="s">
        <v>19</v>
      </c>
      <c r="O23" t="s">
        <v>86</v>
      </c>
      <c r="P23" s="25">
        <v>8</v>
      </c>
      <c r="Q23" s="24">
        <v>887.5</v>
      </c>
      <c r="S23" s="22" t="str">
        <f t="shared" si="5"/>
        <v>California</v>
      </c>
      <c r="T23" s="22" t="str">
        <f t="shared" si="5"/>
        <v>Inyo County</v>
      </c>
      <c r="U23" s="24">
        <f t="shared" si="3"/>
        <v>887.5</v>
      </c>
      <c r="W23" t="str">
        <f t="shared" si="6"/>
        <v>California</v>
      </c>
      <c r="X23" t="str">
        <f t="shared" si="6"/>
        <v>Inyo County</v>
      </c>
      <c r="Y23">
        <f t="shared" si="4"/>
        <v>8</v>
      </c>
    </row>
    <row r="24" spans="1:25" x14ac:dyDescent="0.35">
      <c r="A24" s="8" t="s">
        <v>2528</v>
      </c>
      <c r="B24" t="s">
        <v>2531</v>
      </c>
      <c r="C24" t="s">
        <v>2532</v>
      </c>
      <c r="D24" t="s">
        <v>2533</v>
      </c>
      <c r="E24" t="s">
        <v>2534</v>
      </c>
      <c r="F24" t="s">
        <v>2529</v>
      </c>
      <c r="N24" t="s">
        <v>19</v>
      </c>
      <c r="O24" t="s">
        <v>147</v>
      </c>
      <c r="P24" s="25">
        <v>222</v>
      </c>
      <c r="Q24" s="24">
        <v>11354.199999999993</v>
      </c>
      <c r="S24" s="22" t="str">
        <f t="shared" si="5"/>
        <v>California</v>
      </c>
      <c r="T24" s="22" t="str">
        <f t="shared" si="5"/>
        <v>Kern County</v>
      </c>
      <c r="U24" s="24">
        <f t="shared" si="3"/>
        <v>11354.199999999993</v>
      </c>
      <c r="W24" t="str">
        <f t="shared" si="6"/>
        <v>California</v>
      </c>
      <c r="X24" t="str">
        <f t="shared" si="6"/>
        <v>Kern County</v>
      </c>
      <c r="Y24">
        <f t="shared" si="4"/>
        <v>222</v>
      </c>
    </row>
    <row r="25" spans="1:25" x14ac:dyDescent="0.35">
      <c r="A25" s="9" t="s">
        <v>44</v>
      </c>
      <c r="B25" s="25">
        <v>744</v>
      </c>
      <c r="C25" s="25">
        <v>713</v>
      </c>
      <c r="D25" s="25">
        <v>90</v>
      </c>
      <c r="E25" s="25">
        <v>98</v>
      </c>
      <c r="F25" s="25">
        <v>1645</v>
      </c>
      <c r="N25" t="s">
        <v>19</v>
      </c>
      <c r="O25" t="s">
        <v>334</v>
      </c>
      <c r="P25" s="25">
        <v>36</v>
      </c>
      <c r="Q25" s="24">
        <v>1558.4</v>
      </c>
      <c r="S25" s="22" t="str">
        <f t="shared" si="5"/>
        <v>California</v>
      </c>
      <c r="T25" s="22" t="str">
        <f t="shared" si="5"/>
        <v>Kings County</v>
      </c>
      <c r="U25" s="24">
        <f t="shared" si="3"/>
        <v>1558.4</v>
      </c>
      <c r="W25" t="str">
        <f t="shared" si="6"/>
        <v>California</v>
      </c>
      <c r="X25" t="str">
        <f t="shared" si="6"/>
        <v>Kings County</v>
      </c>
      <c r="Y25">
        <f t="shared" si="4"/>
        <v>36</v>
      </c>
    </row>
    <row r="26" spans="1:25" x14ac:dyDescent="0.35">
      <c r="A26" s="9" t="s">
        <v>39</v>
      </c>
      <c r="B26" s="25">
        <v>716</v>
      </c>
      <c r="C26" s="25">
        <v>598</v>
      </c>
      <c r="D26" s="25">
        <v>18</v>
      </c>
      <c r="E26" s="25">
        <v>214</v>
      </c>
      <c r="F26" s="25">
        <v>1546</v>
      </c>
      <c r="N26" t="s">
        <v>19</v>
      </c>
      <c r="O26" t="s">
        <v>949</v>
      </c>
      <c r="P26" s="25">
        <v>30</v>
      </c>
      <c r="Q26" s="24">
        <v>2223.9</v>
      </c>
      <c r="S26" s="22" t="str">
        <f t="shared" si="5"/>
        <v>California</v>
      </c>
      <c r="T26" s="22" t="str">
        <f t="shared" si="5"/>
        <v>Lake County</v>
      </c>
      <c r="U26" s="24">
        <f t="shared" si="3"/>
        <v>2223.9</v>
      </c>
      <c r="W26" t="str">
        <f t="shared" si="6"/>
        <v>California</v>
      </c>
      <c r="X26" t="str">
        <f t="shared" si="6"/>
        <v>Lake County</v>
      </c>
      <c r="Y26">
        <f t="shared" si="4"/>
        <v>30</v>
      </c>
    </row>
    <row r="27" spans="1:25" x14ac:dyDescent="0.35">
      <c r="A27" s="9" t="s">
        <v>26</v>
      </c>
      <c r="B27" s="25">
        <v>627</v>
      </c>
      <c r="C27" s="25">
        <v>393</v>
      </c>
      <c r="D27" s="25">
        <v>29</v>
      </c>
      <c r="E27" s="25">
        <v>137</v>
      </c>
      <c r="F27" s="25">
        <v>1186</v>
      </c>
      <c r="N27" t="s">
        <v>19</v>
      </c>
      <c r="O27" t="s">
        <v>1426</v>
      </c>
      <c r="P27" s="25">
        <v>1</v>
      </c>
      <c r="Q27" s="24">
        <v>26.2</v>
      </c>
      <c r="S27" s="22" t="str">
        <f t="shared" si="5"/>
        <v>California</v>
      </c>
      <c r="T27" s="22" t="str">
        <f t="shared" si="5"/>
        <v>Lassen County</v>
      </c>
      <c r="U27" s="24">
        <f t="shared" si="3"/>
        <v>26.2</v>
      </c>
      <c r="W27" t="str">
        <f t="shared" si="6"/>
        <v>California</v>
      </c>
      <c r="X27" t="str">
        <f t="shared" si="6"/>
        <v>Lassen County</v>
      </c>
      <c r="Y27">
        <f t="shared" si="4"/>
        <v>1</v>
      </c>
    </row>
    <row r="28" spans="1:25" x14ac:dyDescent="0.35">
      <c r="A28" s="9" t="s">
        <v>22</v>
      </c>
      <c r="B28" s="25">
        <v>568</v>
      </c>
      <c r="C28" s="25">
        <v>306</v>
      </c>
      <c r="D28" s="25">
        <v>22</v>
      </c>
      <c r="E28" s="25">
        <v>16</v>
      </c>
      <c r="F28" s="25">
        <v>912</v>
      </c>
      <c r="N28" t="s">
        <v>19</v>
      </c>
      <c r="O28" t="s">
        <v>33</v>
      </c>
      <c r="P28" s="25">
        <v>3991</v>
      </c>
      <c r="Q28" s="24">
        <v>215551.19999999981</v>
      </c>
      <c r="S28" s="22" t="str">
        <f t="shared" si="5"/>
        <v>California</v>
      </c>
      <c r="T28" s="22" t="str">
        <f t="shared" si="5"/>
        <v>Los Angeles County</v>
      </c>
      <c r="U28" s="24">
        <f t="shared" si="3"/>
        <v>215551.19999999981</v>
      </c>
      <c r="W28" t="str">
        <f t="shared" si="6"/>
        <v>California</v>
      </c>
      <c r="X28" t="str">
        <f t="shared" si="6"/>
        <v>Los Angeles County</v>
      </c>
      <c r="Y28">
        <f t="shared" si="4"/>
        <v>3991</v>
      </c>
    </row>
    <row r="29" spans="1:25" x14ac:dyDescent="0.35">
      <c r="A29" s="9" t="s">
        <v>54</v>
      </c>
      <c r="B29" s="25">
        <v>482</v>
      </c>
      <c r="C29" s="25">
        <v>295</v>
      </c>
      <c r="D29" s="25">
        <v>8</v>
      </c>
      <c r="E29" s="25">
        <v>22</v>
      </c>
      <c r="F29" s="25">
        <v>807</v>
      </c>
      <c r="N29" t="s">
        <v>19</v>
      </c>
      <c r="O29" t="s">
        <v>364</v>
      </c>
      <c r="P29" s="25">
        <v>45</v>
      </c>
      <c r="Q29" s="24">
        <v>2687.3999999999996</v>
      </c>
      <c r="S29" s="22" t="str">
        <f t="shared" si="5"/>
        <v>California</v>
      </c>
      <c r="T29" s="22" t="str">
        <f t="shared" si="5"/>
        <v>Madera County</v>
      </c>
      <c r="U29" s="24">
        <f t="shared" si="3"/>
        <v>2687.3999999999996</v>
      </c>
      <c r="W29" t="str">
        <f t="shared" si="6"/>
        <v>California</v>
      </c>
      <c r="X29" t="str">
        <f t="shared" si="6"/>
        <v>Madera County</v>
      </c>
      <c r="Y29">
        <f t="shared" si="4"/>
        <v>45</v>
      </c>
    </row>
    <row r="30" spans="1:25" x14ac:dyDescent="0.35">
      <c r="A30" s="9" t="s">
        <v>16</v>
      </c>
      <c r="B30" s="25">
        <v>428</v>
      </c>
      <c r="C30" s="25">
        <v>293</v>
      </c>
      <c r="D30" s="25"/>
      <c r="E30" s="25">
        <v>24</v>
      </c>
      <c r="F30" s="25">
        <v>745</v>
      </c>
      <c r="N30" t="s">
        <v>19</v>
      </c>
      <c r="O30" t="s">
        <v>545</v>
      </c>
      <c r="P30" s="25">
        <v>39</v>
      </c>
      <c r="Q30" s="24">
        <v>1463.3000000000002</v>
      </c>
      <c r="S30" s="22" t="str">
        <f t="shared" si="5"/>
        <v>California</v>
      </c>
      <c r="T30" s="22" t="str">
        <f t="shared" si="5"/>
        <v>Marin County</v>
      </c>
      <c r="U30" s="24">
        <f t="shared" si="3"/>
        <v>1463.3000000000002</v>
      </c>
      <c r="W30" t="str">
        <f t="shared" si="6"/>
        <v>California</v>
      </c>
      <c r="X30" t="str">
        <f t="shared" si="6"/>
        <v>Marin County</v>
      </c>
      <c r="Y30">
        <f t="shared" si="4"/>
        <v>39</v>
      </c>
    </row>
    <row r="31" spans="1:25" x14ac:dyDescent="0.35">
      <c r="A31" s="9" t="s">
        <v>46</v>
      </c>
      <c r="B31" s="25">
        <v>445</v>
      </c>
      <c r="C31" s="25">
        <v>202</v>
      </c>
      <c r="D31" s="25">
        <v>14</v>
      </c>
      <c r="E31" s="25">
        <v>39</v>
      </c>
      <c r="F31" s="25">
        <v>700</v>
      </c>
      <c r="N31" t="s">
        <v>19</v>
      </c>
      <c r="O31" t="s">
        <v>416</v>
      </c>
      <c r="P31" s="25">
        <v>6</v>
      </c>
      <c r="Q31" s="24">
        <v>445.79999999999995</v>
      </c>
      <c r="S31" s="22" t="str">
        <f t="shared" si="5"/>
        <v>California</v>
      </c>
      <c r="T31" s="22" t="str">
        <f t="shared" si="5"/>
        <v>Mariposa County</v>
      </c>
      <c r="U31" s="24">
        <f t="shared" si="3"/>
        <v>445.79999999999995</v>
      </c>
      <c r="W31" t="str">
        <f t="shared" si="6"/>
        <v>California</v>
      </c>
      <c r="X31" t="str">
        <f t="shared" si="6"/>
        <v>Mariposa County</v>
      </c>
      <c r="Y31">
        <f t="shared" si="4"/>
        <v>6</v>
      </c>
    </row>
    <row r="32" spans="1:25" x14ac:dyDescent="0.35">
      <c r="A32" s="9" t="s">
        <v>32</v>
      </c>
      <c r="B32" s="25">
        <v>431</v>
      </c>
      <c r="C32" s="25">
        <v>187</v>
      </c>
      <c r="D32" s="25">
        <v>14</v>
      </c>
      <c r="E32" s="25">
        <v>15</v>
      </c>
      <c r="F32" s="25">
        <v>647</v>
      </c>
      <c r="N32" t="s">
        <v>19</v>
      </c>
      <c r="O32" t="s">
        <v>258</v>
      </c>
      <c r="P32" s="25">
        <v>9</v>
      </c>
      <c r="Q32" s="24">
        <v>273.59999999999997</v>
      </c>
      <c r="S32" s="22" t="str">
        <f t="shared" si="5"/>
        <v>California</v>
      </c>
      <c r="T32" s="22" t="str">
        <f t="shared" si="5"/>
        <v>Mendocino County</v>
      </c>
      <c r="U32" s="24">
        <f t="shared" si="3"/>
        <v>273.59999999999997</v>
      </c>
      <c r="W32" t="str">
        <f t="shared" si="6"/>
        <v>California</v>
      </c>
      <c r="X32" t="str">
        <f t="shared" si="6"/>
        <v>Mendocino County</v>
      </c>
      <c r="Y32">
        <f t="shared" si="4"/>
        <v>9</v>
      </c>
    </row>
    <row r="33" spans="1:25" x14ac:dyDescent="0.35">
      <c r="A33" s="9" t="s">
        <v>42</v>
      </c>
      <c r="B33" s="25">
        <v>264</v>
      </c>
      <c r="C33" s="25">
        <v>318</v>
      </c>
      <c r="D33" s="25">
        <v>15</v>
      </c>
      <c r="E33" s="25">
        <v>9</v>
      </c>
      <c r="F33" s="25">
        <v>606</v>
      </c>
      <c r="N33" t="s">
        <v>19</v>
      </c>
      <c r="O33" t="s">
        <v>186</v>
      </c>
      <c r="P33" s="25">
        <v>60</v>
      </c>
      <c r="Q33" s="24">
        <v>2690.4</v>
      </c>
      <c r="S33" s="22" t="str">
        <f t="shared" si="5"/>
        <v>California</v>
      </c>
      <c r="T33" s="22" t="str">
        <f t="shared" si="5"/>
        <v>Merced County</v>
      </c>
      <c r="U33" s="24">
        <f t="shared" si="3"/>
        <v>2690.4</v>
      </c>
      <c r="W33" t="str">
        <f t="shared" si="6"/>
        <v>California</v>
      </c>
      <c r="X33" t="str">
        <f t="shared" si="6"/>
        <v>Merced County</v>
      </c>
      <c r="Y33">
        <f t="shared" si="4"/>
        <v>60</v>
      </c>
    </row>
    <row r="34" spans="1:25" x14ac:dyDescent="0.35">
      <c r="A34" s="9" t="s">
        <v>37</v>
      </c>
      <c r="B34" s="25">
        <v>296</v>
      </c>
      <c r="C34" s="25">
        <v>275</v>
      </c>
      <c r="D34" s="25">
        <v>9</v>
      </c>
      <c r="E34" s="25">
        <v>23</v>
      </c>
      <c r="F34" s="25">
        <v>603</v>
      </c>
      <c r="N34" t="s">
        <v>19</v>
      </c>
      <c r="O34" t="s">
        <v>392</v>
      </c>
      <c r="P34" s="25">
        <v>2</v>
      </c>
      <c r="Q34" s="24">
        <v>28.4</v>
      </c>
      <c r="S34" s="22" t="str">
        <f t="shared" si="5"/>
        <v>California</v>
      </c>
      <c r="T34" s="22" t="str">
        <f t="shared" si="5"/>
        <v>Modoc County</v>
      </c>
      <c r="U34" s="24">
        <f t="shared" si="3"/>
        <v>28.4</v>
      </c>
      <c r="W34" t="str">
        <f t="shared" si="6"/>
        <v>California</v>
      </c>
      <c r="X34" t="str">
        <f t="shared" si="6"/>
        <v>Modoc County</v>
      </c>
      <c r="Y34">
        <f t="shared" si="4"/>
        <v>2</v>
      </c>
    </row>
    <row r="35" spans="1:25" x14ac:dyDescent="0.35">
      <c r="A35" s="9" t="s">
        <v>123</v>
      </c>
      <c r="B35" s="25">
        <v>153</v>
      </c>
      <c r="C35" s="25">
        <v>246</v>
      </c>
      <c r="D35" s="25">
        <v>30</v>
      </c>
      <c r="E35" s="25">
        <v>8</v>
      </c>
      <c r="F35" s="25">
        <v>437</v>
      </c>
      <c r="N35" t="s">
        <v>19</v>
      </c>
      <c r="O35" t="s">
        <v>670</v>
      </c>
      <c r="P35" s="25">
        <v>4</v>
      </c>
      <c r="Q35" s="24">
        <v>204.8</v>
      </c>
      <c r="S35" s="22" t="str">
        <f t="shared" si="5"/>
        <v>California</v>
      </c>
      <c r="T35" s="22" t="str">
        <f t="shared" si="5"/>
        <v>Mono County</v>
      </c>
      <c r="U35" s="24">
        <f t="shared" si="3"/>
        <v>204.8</v>
      </c>
      <c r="W35" t="str">
        <f t="shared" si="6"/>
        <v>California</v>
      </c>
      <c r="X35" t="str">
        <f t="shared" si="6"/>
        <v>Mono County</v>
      </c>
      <c r="Y35">
        <f t="shared" si="4"/>
        <v>4</v>
      </c>
    </row>
    <row r="36" spans="1:25" x14ac:dyDescent="0.35">
      <c r="A36" s="9" t="s">
        <v>146</v>
      </c>
      <c r="B36" s="25">
        <v>189</v>
      </c>
      <c r="C36" s="25">
        <v>168</v>
      </c>
      <c r="D36" s="25">
        <v>10</v>
      </c>
      <c r="E36" s="25">
        <v>31</v>
      </c>
      <c r="F36" s="25">
        <v>398</v>
      </c>
      <c r="N36" t="s">
        <v>19</v>
      </c>
      <c r="O36" t="s">
        <v>802</v>
      </c>
      <c r="P36" s="25">
        <v>31</v>
      </c>
      <c r="Q36" s="24">
        <v>1607.8999999999999</v>
      </c>
      <c r="S36" s="22" t="str">
        <f t="shared" si="5"/>
        <v>California</v>
      </c>
      <c r="T36" s="22" t="str">
        <f t="shared" si="5"/>
        <v>Monterey County</v>
      </c>
      <c r="U36" s="24">
        <f t="shared" si="3"/>
        <v>1607.8999999999999</v>
      </c>
      <c r="W36" t="str">
        <f t="shared" si="6"/>
        <v>California</v>
      </c>
      <c r="X36" t="str">
        <f t="shared" si="6"/>
        <v>Monterey County</v>
      </c>
      <c r="Y36">
        <f t="shared" si="4"/>
        <v>31</v>
      </c>
    </row>
    <row r="37" spans="1:25" x14ac:dyDescent="0.35">
      <c r="A37" s="9" t="s">
        <v>69</v>
      </c>
      <c r="B37" s="25">
        <v>234</v>
      </c>
      <c r="C37" s="25">
        <v>93</v>
      </c>
      <c r="D37" s="25">
        <v>19</v>
      </c>
      <c r="E37" s="25">
        <v>24</v>
      </c>
      <c r="F37" s="25">
        <v>370</v>
      </c>
      <c r="N37" t="s">
        <v>19</v>
      </c>
      <c r="O37" t="s">
        <v>98</v>
      </c>
      <c r="P37" s="25">
        <v>88</v>
      </c>
      <c r="Q37" s="24">
        <v>6444.9</v>
      </c>
      <c r="S37" s="22" t="str">
        <f t="shared" si="5"/>
        <v>California</v>
      </c>
      <c r="T37" s="22" t="str">
        <f t="shared" si="5"/>
        <v>Napa County</v>
      </c>
      <c r="U37" s="24">
        <f t="shared" si="3"/>
        <v>6444.9</v>
      </c>
      <c r="W37" t="str">
        <f t="shared" si="6"/>
        <v>California</v>
      </c>
      <c r="X37" t="str">
        <f t="shared" si="6"/>
        <v>Napa County</v>
      </c>
      <c r="Y37">
        <f t="shared" si="4"/>
        <v>88</v>
      </c>
    </row>
    <row r="38" spans="1:25" x14ac:dyDescent="0.35">
      <c r="A38" s="9" t="s">
        <v>30</v>
      </c>
      <c r="B38" s="25">
        <v>146</v>
      </c>
      <c r="C38" s="25">
        <v>94</v>
      </c>
      <c r="D38" s="25">
        <v>4</v>
      </c>
      <c r="E38" s="25">
        <v>28</v>
      </c>
      <c r="F38" s="25">
        <v>272</v>
      </c>
      <c r="N38" t="s">
        <v>19</v>
      </c>
      <c r="O38" t="s">
        <v>49</v>
      </c>
      <c r="P38" s="25">
        <v>25</v>
      </c>
      <c r="Q38" s="24">
        <v>1809.3</v>
      </c>
      <c r="S38" s="22" t="str">
        <f t="shared" si="5"/>
        <v>California</v>
      </c>
      <c r="T38" s="22" t="str">
        <f t="shared" si="5"/>
        <v>Nevada County</v>
      </c>
      <c r="U38" s="24">
        <f t="shared" si="3"/>
        <v>1809.3</v>
      </c>
      <c r="W38" t="str">
        <f t="shared" si="6"/>
        <v>California</v>
      </c>
      <c r="X38" t="str">
        <f t="shared" si="6"/>
        <v>Nevada County</v>
      </c>
      <c r="Y38">
        <f t="shared" si="4"/>
        <v>25</v>
      </c>
    </row>
    <row r="39" spans="1:25" x14ac:dyDescent="0.35">
      <c r="A39" s="9" t="s">
        <v>135</v>
      </c>
      <c r="B39" s="25">
        <v>127</v>
      </c>
      <c r="C39" s="25">
        <v>118</v>
      </c>
      <c r="D39" s="25">
        <v>13</v>
      </c>
      <c r="E39" s="25">
        <v>12</v>
      </c>
      <c r="F39" s="25">
        <v>270</v>
      </c>
      <c r="N39" t="s">
        <v>19</v>
      </c>
      <c r="O39" t="s">
        <v>188</v>
      </c>
      <c r="P39" s="25">
        <v>178</v>
      </c>
      <c r="Q39" s="24">
        <v>9680.399999999996</v>
      </c>
      <c r="S39" s="22"/>
    </row>
    <row r="40" spans="1:25" x14ac:dyDescent="0.35">
      <c r="A40" s="9" t="s">
        <v>67</v>
      </c>
      <c r="B40" s="25">
        <v>179</v>
      </c>
      <c r="C40" s="25">
        <v>76</v>
      </c>
      <c r="D40" s="25">
        <v>3</v>
      </c>
      <c r="E40" s="25"/>
      <c r="F40" s="25">
        <v>258</v>
      </c>
      <c r="N40" t="s">
        <v>19</v>
      </c>
      <c r="O40" t="s">
        <v>52</v>
      </c>
      <c r="P40" s="25">
        <v>141</v>
      </c>
      <c r="Q40" s="24">
        <v>9414.7999999999993</v>
      </c>
      <c r="S40" s="22"/>
    </row>
    <row r="41" spans="1:25" x14ac:dyDescent="0.35">
      <c r="A41" s="9" t="s">
        <v>128</v>
      </c>
      <c r="B41" s="25">
        <v>99</v>
      </c>
      <c r="C41" s="25">
        <v>69</v>
      </c>
      <c r="D41" s="25">
        <v>3</v>
      </c>
      <c r="E41" s="25">
        <v>24</v>
      </c>
      <c r="F41" s="25">
        <v>195</v>
      </c>
      <c r="N41" t="s">
        <v>19</v>
      </c>
      <c r="O41" t="s">
        <v>338</v>
      </c>
      <c r="P41" s="25">
        <v>6</v>
      </c>
      <c r="Q41" s="24">
        <v>206.1</v>
      </c>
      <c r="S41" s="22"/>
    </row>
    <row r="42" spans="1:25" x14ac:dyDescent="0.35">
      <c r="A42" s="9" t="s">
        <v>76</v>
      </c>
      <c r="B42" s="25">
        <v>75</v>
      </c>
      <c r="C42" s="25">
        <v>103</v>
      </c>
      <c r="D42" s="25">
        <v>4</v>
      </c>
      <c r="E42" s="25">
        <v>6</v>
      </c>
      <c r="F42" s="25">
        <v>188</v>
      </c>
      <c r="N42" t="s">
        <v>19</v>
      </c>
      <c r="O42" t="s">
        <v>158</v>
      </c>
      <c r="P42" s="25">
        <v>178</v>
      </c>
      <c r="Q42" s="24">
        <v>7691.3</v>
      </c>
      <c r="S42" s="22"/>
    </row>
    <row r="43" spans="1:25" x14ac:dyDescent="0.35">
      <c r="A43" s="9" t="s">
        <v>81</v>
      </c>
      <c r="B43" s="25">
        <v>43</v>
      </c>
      <c r="C43" s="25">
        <v>90</v>
      </c>
      <c r="D43" s="25">
        <v>8</v>
      </c>
      <c r="E43" s="25">
        <v>6</v>
      </c>
      <c r="F43" s="25">
        <v>147</v>
      </c>
      <c r="N43" t="s">
        <v>19</v>
      </c>
      <c r="O43" t="s">
        <v>55</v>
      </c>
      <c r="P43" s="25">
        <v>699</v>
      </c>
      <c r="Q43" s="24">
        <v>37784.900000000016</v>
      </c>
      <c r="S43" s="23"/>
    </row>
    <row r="44" spans="1:25" x14ac:dyDescent="0.35">
      <c r="A44" s="9" t="s">
        <v>171</v>
      </c>
      <c r="B44" s="25">
        <v>26</v>
      </c>
      <c r="C44" s="25">
        <v>35</v>
      </c>
      <c r="D44" s="25">
        <v>4</v>
      </c>
      <c r="E44" s="25"/>
      <c r="F44" s="25">
        <v>65</v>
      </c>
      <c r="N44" t="s">
        <v>19</v>
      </c>
      <c r="O44" t="s">
        <v>342</v>
      </c>
      <c r="P44" s="25">
        <v>23</v>
      </c>
      <c r="Q44" s="24">
        <v>1129.7</v>
      </c>
      <c r="S44" s="22"/>
      <c r="U44" s="6"/>
    </row>
    <row r="45" spans="1:25" x14ac:dyDescent="0.35">
      <c r="A45" s="9" t="s">
        <v>2529</v>
      </c>
      <c r="B45" s="25">
        <v>6272</v>
      </c>
      <c r="C45" s="25">
        <v>4672</v>
      </c>
      <c r="D45" s="25">
        <v>317</v>
      </c>
      <c r="E45" s="25">
        <v>736</v>
      </c>
      <c r="F45" s="25">
        <v>11997</v>
      </c>
      <c r="N45" t="s">
        <v>19</v>
      </c>
      <c r="O45" t="s">
        <v>59</v>
      </c>
      <c r="P45" s="25">
        <v>356</v>
      </c>
      <c r="Q45" s="24">
        <v>20988.9</v>
      </c>
      <c r="S45" s="22"/>
      <c r="U45" s="6"/>
    </row>
    <row r="46" spans="1:25" x14ac:dyDescent="0.35">
      <c r="N46" t="s">
        <v>19</v>
      </c>
      <c r="O46" t="s">
        <v>62</v>
      </c>
      <c r="P46" s="25">
        <v>1768</v>
      </c>
      <c r="Q46" s="24">
        <v>98367.099999999977</v>
      </c>
      <c r="S46" s="22"/>
      <c r="U46" s="6"/>
    </row>
    <row r="47" spans="1:25" x14ac:dyDescent="0.35">
      <c r="N47" t="s">
        <v>19</v>
      </c>
      <c r="O47" t="s">
        <v>103</v>
      </c>
      <c r="P47" s="25">
        <v>307</v>
      </c>
      <c r="Q47" s="24">
        <v>21911.9</v>
      </c>
      <c r="S47" s="22"/>
      <c r="U47" s="6"/>
    </row>
    <row r="48" spans="1:25" x14ac:dyDescent="0.35">
      <c r="A48" s="8" t="s">
        <v>2528</v>
      </c>
      <c r="B48" t="s">
        <v>2519</v>
      </c>
      <c r="D48" s="8" t="s">
        <v>2519</v>
      </c>
      <c r="E48" s="8" t="s">
        <v>2530</v>
      </c>
      <c r="N48" t="s">
        <v>19</v>
      </c>
      <c r="O48" t="s">
        <v>201</v>
      </c>
      <c r="P48" s="25">
        <v>117</v>
      </c>
      <c r="Q48" s="24">
        <v>5441.2</v>
      </c>
      <c r="S48" s="22"/>
      <c r="U48" s="6"/>
    </row>
    <row r="49" spans="1:21" x14ac:dyDescent="0.35">
      <c r="A49" s="9">
        <v>0</v>
      </c>
      <c r="B49" s="25">
        <v>175</v>
      </c>
      <c r="D49" s="8" t="s">
        <v>2528</v>
      </c>
      <c r="E49">
        <v>1</v>
      </c>
      <c r="F49">
        <v>2</v>
      </c>
      <c r="G49">
        <v>3</v>
      </c>
      <c r="H49">
        <v>4</v>
      </c>
      <c r="I49">
        <v>5</v>
      </c>
      <c r="J49" t="s">
        <v>2529</v>
      </c>
      <c r="N49" t="s">
        <v>19</v>
      </c>
      <c r="O49" t="s">
        <v>429</v>
      </c>
      <c r="P49" s="25">
        <v>13</v>
      </c>
      <c r="Q49" s="24">
        <v>392.8</v>
      </c>
      <c r="S49" s="22"/>
      <c r="U49" s="6"/>
    </row>
    <row r="50" spans="1:21" x14ac:dyDescent="0.35">
      <c r="A50" s="9">
        <v>1</v>
      </c>
      <c r="B50" s="25">
        <v>888</v>
      </c>
      <c r="D50" s="9" t="s">
        <v>2537</v>
      </c>
      <c r="E50" s="25">
        <v>7</v>
      </c>
      <c r="F50" s="25">
        <v>37</v>
      </c>
      <c r="G50" s="25">
        <v>150</v>
      </c>
      <c r="H50" s="25">
        <v>312</v>
      </c>
      <c r="I50" s="25">
        <v>224</v>
      </c>
      <c r="J50" s="25">
        <v>730</v>
      </c>
      <c r="N50" t="s">
        <v>19</v>
      </c>
      <c r="O50" t="s">
        <v>72</v>
      </c>
      <c r="P50" s="25">
        <v>364</v>
      </c>
      <c r="Q50" s="24">
        <v>16172.000000000005</v>
      </c>
      <c r="S50" s="22"/>
      <c r="U50" s="6"/>
    </row>
    <row r="51" spans="1:21" x14ac:dyDescent="0.35">
      <c r="A51" s="9">
        <v>2</v>
      </c>
      <c r="B51" s="25">
        <v>538</v>
      </c>
      <c r="D51" s="9" t="s">
        <v>2538</v>
      </c>
      <c r="E51" s="25">
        <v>8</v>
      </c>
      <c r="F51" s="25">
        <v>51</v>
      </c>
      <c r="G51" s="25">
        <v>182</v>
      </c>
      <c r="H51" s="25">
        <v>373</v>
      </c>
      <c r="I51" s="25">
        <v>247</v>
      </c>
      <c r="J51" s="25">
        <v>861</v>
      </c>
      <c r="N51" t="s">
        <v>19</v>
      </c>
      <c r="O51" t="s">
        <v>74</v>
      </c>
      <c r="P51" s="25">
        <v>95</v>
      </c>
      <c r="Q51" s="24">
        <v>4334.9999999999991</v>
      </c>
      <c r="S51" s="22"/>
      <c r="U51" s="6"/>
    </row>
    <row r="52" spans="1:21" x14ac:dyDescent="0.35">
      <c r="A52" s="9">
        <v>3</v>
      </c>
      <c r="B52" s="25">
        <v>344</v>
      </c>
      <c r="D52" s="9" t="s">
        <v>2539</v>
      </c>
      <c r="E52" s="25">
        <v>6</v>
      </c>
      <c r="F52" s="25">
        <v>39</v>
      </c>
      <c r="G52" s="25">
        <v>163</v>
      </c>
      <c r="H52" s="25">
        <v>351</v>
      </c>
      <c r="I52" s="25">
        <v>250</v>
      </c>
      <c r="J52" s="25">
        <v>809</v>
      </c>
      <c r="N52" t="s">
        <v>19</v>
      </c>
      <c r="O52" t="s">
        <v>77</v>
      </c>
      <c r="P52" s="25">
        <v>737</v>
      </c>
      <c r="Q52" s="24">
        <v>37449.000000000007</v>
      </c>
      <c r="S52" s="22"/>
      <c r="U52" s="6"/>
    </row>
    <row r="53" spans="1:21" x14ac:dyDescent="0.35">
      <c r="A53" s="9">
        <v>4</v>
      </c>
      <c r="B53" s="25">
        <v>200</v>
      </c>
      <c r="D53" s="9" t="s">
        <v>2529</v>
      </c>
      <c r="E53" s="25">
        <v>21</v>
      </c>
      <c r="F53" s="25">
        <v>127</v>
      </c>
      <c r="G53" s="25">
        <v>495</v>
      </c>
      <c r="H53" s="25">
        <v>1036</v>
      </c>
      <c r="I53" s="25">
        <v>721</v>
      </c>
      <c r="J53" s="25">
        <v>2400</v>
      </c>
      <c r="N53" t="s">
        <v>19</v>
      </c>
      <c r="O53" t="s">
        <v>309</v>
      </c>
      <c r="P53" s="25">
        <v>39</v>
      </c>
      <c r="Q53" s="24">
        <v>2447.5</v>
      </c>
      <c r="S53" s="22"/>
      <c r="U53" s="6"/>
    </row>
    <row r="54" spans="1:21" x14ac:dyDescent="0.35">
      <c r="A54" s="9">
        <v>5</v>
      </c>
      <c r="B54" s="25">
        <v>94</v>
      </c>
      <c r="N54" t="s">
        <v>19</v>
      </c>
      <c r="O54" t="s">
        <v>1116</v>
      </c>
      <c r="P54" s="25">
        <v>56</v>
      </c>
      <c r="Q54" s="24">
        <v>3391.1</v>
      </c>
      <c r="S54" s="22"/>
      <c r="U54" s="6"/>
    </row>
    <row r="55" spans="1:21" x14ac:dyDescent="0.35">
      <c r="A55" s="9">
        <v>6</v>
      </c>
      <c r="B55" s="25">
        <v>51</v>
      </c>
      <c r="N55" t="s">
        <v>19</v>
      </c>
      <c r="O55" t="s">
        <v>700</v>
      </c>
      <c r="P55" s="25">
        <v>2</v>
      </c>
      <c r="Q55" s="24">
        <v>30.8</v>
      </c>
      <c r="S55" s="22"/>
      <c r="U55" s="6"/>
    </row>
    <row r="56" spans="1:21" x14ac:dyDescent="0.35">
      <c r="A56" s="9">
        <v>7</v>
      </c>
      <c r="B56" s="25">
        <v>32</v>
      </c>
      <c r="N56" t="s">
        <v>19</v>
      </c>
      <c r="O56" t="s">
        <v>268</v>
      </c>
      <c r="P56" s="25">
        <v>8</v>
      </c>
      <c r="Q56" s="24">
        <v>332.3</v>
      </c>
      <c r="S56" s="22"/>
      <c r="U56" s="6"/>
    </row>
    <row r="57" spans="1:21" x14ac:dyDescent="0.35">
      <c r="A57" s="9">
        <v>8</v>
      </c>
      <c r="B57" s="25">
        <v>23</v>
      </c>
      <c r="N57" t="s">
        <v>19</v>
      </c>
      <c r="O57" t="s">
        <v>377</v>
      </c>
      <c r="P57" s="25">
        <v>52</v>
      </c>
      <c r="Q57" s="24">
        <v>3175.9999999999995</v>
      </c>
      <c r="S57" s="22"/>
      <c r="U57" s="6"/>
    </row>
    <row r="58" spans="1:21" x14ac:dyDescent="0.35">
      <c r="A58" s="9">
        <v>9</v>
      </c>
      <c r="B58" s="25">
        <v>9</v>
      </c>
      <c r="N58" t="s">
        <v>19</v>
      </c>
      <c r="O58" t="s">
        <v>108</v>
      </c>
      <c r="P58" s="25">
        <v>295</v>
      </c>
      <c r="Q58" s="24">
        <v>20939.600000000002</v>
      </c>
      <c r="S58" s="22"/>
      <c r="U58" s="6"/>
    </row>
    <row r="59" spans="1:21" x14ac:dyDescent="0.35">
      <c r="A59" s="9">
        <v>10</v>
      </c>
      <c r="B59" s="25">
        <v>8</v>
      </c>
      <c r="N59" t="s">
        <v>19</v>
      </c>
      <c r="O59" t="s">
        <v>110</v>
      </c>
      <c r="P59" s="25">
        <v>195</v>
      </c>
      <c r="Q59" s="24">
        <v>10185.899999999996</v>
      </c>
      <c r="S59" s="22"/>
      <c r="U59" s="6"/>
    </row>
    <row r="60" spans="1:21" x14ac:dyDescent="0.35">
      <c r="A60" s="9">
        <v>11</v>
      </c>
      <c r="B60" s="25">
        <v>11</v>
      </c>
      <c r="N60" t="s">
        <v>19</v>
      </c>
      <c r="O60" t="s">
        <v>292</v>
      </c>
      <c r="P60" s="25">
        <v>20</v>
      </c>
      <c r="Q60" s="24">
        <v>958.7</v>
      </c>
      <c r="S60" s="22"/>
      <c r="U60" s="6"/>
    </row>
    <row r="61" spans="1:21" x14ac:dyDescent="0.35">
      <c r="A61" s="9">
        <v>12</v>
      </c>
      <c r="B61" s="25">
        <v>4</v>
      </c>
      <c r="N61" t="s">
        <v>19</v>
      </c>
      <c r="O61" t="s">
        <v>79</v>
      </c>
      <c r="P61" s="25">
        <v>6</v>
      </c>
      <c r="Q61" s="24">
        <v>323</v>
      </c>
      <c r="S61" s="22"/>
      <c r="U61" s="6"/>
    </row>
    <row r="62" spans="1:21" x14ac:dyDescent="0.35">
      <c r="A62" s="9">
        <v>13</v>
      </c>
      <c r="B62" s="25">
        <v>10</v>
      </c>
      <c r="N62" t="s">
        <v>19</v>
      </c>
      <c r="O62" t="s">
        <v>608</v>
      </c>
      <c r="P62" s="25">
        <v>5</v>
      </c>
      <c r="Q62" s="24">
        <v>167.70000000000002</v>
      </c>
      <c r="S62" s="22"/>
      <c r="U62" s="6"/>
    </row>
    <row r="63" spans="1:21" x14ac:dyDescent="0.35">
      <c r="A63" s="9">
        <v>14</v>
      </c>
      <c r="B63" s="25">
        <v>13</v>
      </c>
      <c r="N63" t="s">
        <v>19</v>
      </c>
      <c r="O63" t="s">
        <v>113</v>
      </c>
      <c r="P63" s="25">
        <v>94</v>
      </c>
      <c r="Q63" s="24">
        <v>3978.5</v>
      </c>
      <c r="S63" s="22"/>
      <c r="U63" s="6"/>
    </row>
    <row r="64" spans="1:21" x14ac:dyDescent="0.35">
      <c r="A64" s="9" t="s">
        <v>2529</v>
      </c>
      <c r="B64" s="25">
        <v>2400</v>
      </c>
      <c r="N64" t="s">
        <v>19</v>
      </c>
      <c r="O64" t="s">
        <v>997</v>
      </c>
      <c r="P64" s="25">
        <v>28</v>
      </c>
      <c r="Q64" s="24">
        <v>1405</v>
      </c>
      <c r="S64" s="22"/>
      <c r="U64" s="6"/>
    </row>
    <row r="65" spans="14:21" x14ac:dyDescent="0.35">
      <c r="N65" t="s">
        <v>19</v>
      </c>
      <c r="O65" t="s">
        <v>82</v>
      </c>
      <c r="P65" s="25">
        <v>179</v>
      </c>
      <c r="Q65" s="24">
        <v>9869.0999999999985</v>
      </c>
      <c r="S65" s="22"/>
      <c r="U65" s="6"/>
    </row>
    <row r="66" spans="14:21" x14ac:dyDescent="0.35">
      <c r="N66" t="s">
        <v>19</v>
      </c>
      <c r="O66" t="s">
        <v>243</v>
      </c>
      <c r="P66" s="25">
        <v>15</v>
      </c>
      <c r="Q66" s="24">
        <v>615.29999999999995</v>
      </c>
      <c r="S66" s="22"/>
      <c r="U66" s="6"/>
    </row>
    <row r="67" spans="14:21" x14ac:dyDescent="0.35">
      <c r="N67" t="s">
        <v>19</v>
      </c>
      <c r="O67" t="s">
        <v>1911</v>
      </c>
      <c r="P67" s="25">
        <v>3</v>
      </c>
      <c r="Q67" s="24">
        <v>285</v>
      </c>
      <c r="S67" s="23"/>
      <c r="U67" s="6"/>
    </row>
    <row r="71" spans="14:21" x14ac:dyDescent="0.35">
      <c r="N71" s="11"/>
      <c r="O71" s="11"/>
      <c r="P71" s="11"/>
    </row>
    <row r="72" spans="14:21" x14ac:dyDescent="0.35">
      <c r="N72" s="22"/>
    </row>
    <row r="73" spans="14:21" x14ac:dyDescent="0.35">
      <c r="N73" s="22"/>
    </row>
    <row r="74" spans="14:21" x14ac:dyDescent="0.35">
      <c r="N74" s="22"/>
    </row>
    <row r="75" spans="14:21" x14ac:dyDescent="0.35">
      <c r="N75" s="22"/>
    </row>
    <row r="76" spans="14:21" x14ac:dyDescent="0.35">
      <c r="N76" s="22"/>
    </row>
    <row r="77" spans="14:21" x14ac:dyDescent="0.35">
      <c r="N77" s="22"/>
    </row>
    <row r="78" spans="14:21" x14ac:dyDescent="0.35">
      <c r="N78" s="22"/>
    </row>
    <row r="79" spans="14:21" x14ac:dyDescent="0.35">
      <c r="N79" s="22"/>
    </row>
    <row r="80" spans="14:21" x14ac:dyDescent="0.35">
      <c r="N80" s="22"/>
    </row>
    <row r="81" spans="14:14" x14ac:dyDescent="0.35">
      <c r="N81" s="22"/>
    </row>
    <row r="82" spans="14:14" x14ac:dyDescent="0.35">
      <c r="N82" s="22"/>
    </row>
    <row r="83" spans="14:14" x14ac:dyDescent="0.35">
      <c r="N83" s="22"/>
    </row>
    <row r="84" spans="14:14" x14ac:dyDescent="0.35">
      <c r="N84" s="22"/>
    </row>
    <row r="85" spans="14:14" x14ac:dyDescent="0.35">
      <c r="N85" s="22"/>
    </row>
    <row r="86" spans="14:14" x14ac:dyDescent="0.35">
      <c r="N86" s="22"/>
    </row>
    <row r="87" spans="14:14" x14ac:dyDescent="0.35">
      <c r="N87" s="22"/>
    </row>
    <row r="88" spans="14:14" x14ac:dyDescent="0.35">
      <c r="N88" s="22"/>
    </row>
    <row r="89" spans="14:14" x14ac:dyDescent="0.35">
      <c r="N89" s="22"/>
    </row>
    <row r="90" spans="14:14" x14ac:dyDescent="0.35">
      <c r="N90" s="22"/>
    </row>
    <row r="91" spans="14:14" x14ac:dyDescent="0.35">
      <c r="N91" s="22"/>
    </row>
    <row r="92" spans="14:14" x14ac:dyDescent="0.35">
      <c r="N92" s="22"/>
    </row>
    <row r="93" spans="14:14" x14ac:dyDescent="0.35">
      <c r="N93" s="22"/>
    </row>
    <row r="94" spans="14:14" x14ac:dyDescent="0.35">
      <c r="N94" s="22"/>
    </row>
    <row r="95" spans="14:14" x14ac:dyDescent="0.35">
      <c r="N95" s="22"/>
    </row>
    <row r="96" spans="14:14" x14ac:dyDescent="0.35">
      <c r="N96" s="22"/>
    </row>
    <row r="97" spans="14:14" x14ac:dyDescent="0.35">
      <c r="N97" s="22"/>
    </row>
    <row r="98" spans="14:14" x14ac:dyDescent="0.35">
      <c r="N98" s="22"/>
    </row>
    <row r="99" spans="14:14" x14ac:dyDescent="0.35">
      <c r="N99" s="22"/>
    </row>
    <row r="100" spans="14:14" x14ac:dyDescent="0.35">
      <c r="N100" s="22"/>
    </row>
    <row r="101" spans="14:14" x14ac:dyDescent="0.35">
      <c r="N101" s="22"/>
    </row>
    <row r="102" spans="14:14" x14ac:dyDescent="0.35">
      <c r="N102" s="22"/>
    </row>
    <row r="103" spans="14:14" x14ac:dyDescent="0.35">
      <c r="N103" s="22"/>
    </row>
    <row r="104" spans="14:14" x14ac:dyDescent="0.35">
      <c r="N104" s="22"/>
    </row>
    <row r="105" spans="14:14" x14ac:dyDescent="0.35">
      <c r="N105" s="22"/>
    </row>
    <row r="106" spans="14:14" x14ac:dyDescent="0.35">
      <c r="N106" s="22"/>
    </row>
    <row r="107" spans="14:14" x14ac:dyDescent="0.35">
      <c r="N107" s="22"/>
    </row>
    <row r="108" spans="14:14" x14ac:dyDescent="0.35">
      <c r="N108" s="22"/>
    </row>
    <row r="109" spans="14:14" x14ac:dyDescent="0.35">
      <c r="N109" s="22"/>
    </row>
    <row r="110" spans="14:14" x14ac:dyDescent="0.35">
      <c r="N110" s="22"/>
    </row>
    <row r="111" spans="14:14" x14ac:dyDescent="0.35">
      <c r="N111" s="22"/>
    </row>
    <row r="112" spans="14:14" x14ac:dyDescent="0.35">
      <c r="N112" s="22"/>
    </row>
    <row r="113" spans="14:14" x14ac:dyDescent="0.35">
      <c r="N113" s="22"/>
    </row>
    <row r="114" spans="14:14" x14ac:dyDescent="0.35">
      <c r="N114" s="22"/>
    </row>
    <row r="115" spans="14:14" x14ac:dyDescent="0.35">
      <c r="N115" s="22"/>
    </row>
    <row r="116" spans="14:14" x14ac:dyDescent="0.35">
      <c r="N116" s="22"/>
    </row>
    <row r="117" spans="14:14" x14ac:dyDescent="0.35">
      <c r="N117" s="22"/>
    </row>
    <row r="118" spans="14:14" x14ac:dyDescent="0.35">
      <c r="N118" s="22"/>
    </row>
    <row r="119" spans="14:14" x14ac:dyDescent="0.35">
      <c r="N119" s="22"/>
    </row>
    <row r="120" spans="14:14" x14ac:dyDescent="0.35">
      <c r="N120" s="22"/>
    </row>
    <row r="121" spans="14:14" x14ac:dyDescent="0.35">
      <c r="N121" s="22"/>
    </row>
    <row r="122" spans="14:14" x14ac:dyDescent="0.35">
      <c r="N122" s="22"/>
    </row>
    <row r="123" spans="14:14" x14ac:dyDescent="0.35">
      <c r="N123" s="22"/>
    </row>
    <row r="124" spans="14:14" x14ac:dyDescent="0.35">
      <c r="N124" s="22"/>
    </row>
    <row r="125" spans="14:14" x14ac:dyDescent="0.35">
      <c r="N125" s="22"/>
    </row>
    <row r="126" spans="14:14" x14ac:dyDescent="0.35">
      <c r="N126" s="22"/>
    </row>
    <row r="127" spans="14:14" x14ac:dyDescent="0.35">
      <c r="N127" s="22"/>
    </row>
    <row r="128" spans="14:14" x14ac:dyDescent="0.35">
      <c r="N128" s="22"/>
    </row>
    <row r="129" spans="14:14" x14ac:dyDescent="0.35">
      <c r="N129" s="23"/>
    </row>
  </sheetData>
  <pageMargins left="0.7" right="0.7" top="0.75" bottom="0.75" header="0.3" footer="0.3"/>
  <pageSetup paperSize="9" orientation="portrait"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7C98-B42E-43A8-BF9E-8A5D65068169}">
  <dimension ref="A1"/>
  <sheetViews>
    <sheetView showGridLines="0" tabSelected="1" zoomScale="64" zoomScaleNormal="104" workbookViewId="0">
      <selection activeCell="AJ27" sqref="AJ27"/>
    </sheetView>
  </sheetViews>
  <sheetFormatPr defaultRowHeight="14.5" x14ac:dyDescent="0.35"/>
  <cols>
    <col min="1" max="1" width="3.7265625" customWidth="1"/>
    <col min="2" max="2" width="15" customWidth="1"/>
    <col min="3" max="3" width="4" customWidth="1"/>
    <col min="4" max="4" width="3.54296875" customWidth="1"/>
  </cols>
  <sheetData/>
  <sheetProtection algorithmName="SHA-512" hashValue="UkvLzafsbf5EhOr4rgoHh7Hqlz1D4ZbWIxdbwlwmCoK34Fro1vxF8njgtkGFMZwVG8FEVyfoxTNcG32Zp/D0rg==" saltValue="sbUgfFylW5c+sbiTPno47g==" spinCount="100000" sheet="1" objects="1" scenario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9B4D2-A12A-44F7-A143-0B34632A9F6A}">
  <dimension ref="A3:L10"/>
  <sheetViews>
    <sheetView showGridLines="0" workbookViewId="0">
      <selection activeCell="H4" sqref="H4:L9"/>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6" max="6" width="10.36328125" bestFit="1" customWidth="1"/>
    <col min="8" max="8" width="10.26953125" bestFit="1" customWidth="1"/>
  </cols>
  <sheetData>
    <row r="3" spans="1:12" ht="15" thickBot="1" x14ac:dyDescent="0.4">
      <c r="A3" s="8" t="s">
        <v>2521</v>
      </c>
      <c r="B3" s="8" t="s">
        <v>2530</v>
      </c>
    </row>
    <row r="4" spans="1:12" x14ac:dyDescent="0.35">
      <c r="A4" s="8" t="s">
        <v>2528</v>
      </c>
      <c r="B4" t="s">
        <v>2531</v>
      </c>
      <c r="C4" t="s">
        <v>2532</v>
      </c>
      <c r="D4" t="s">
        <v>2533</v>
      </c>
      <c r="E4" t="s">
        <v>2534</v>
      </c>
      <c r="F4" t="s">
        <v>2529</v>
      </c>
      <c r="H4" s="14"/>
      <c r="I4" s="15" t="str">
        <f>B4</f>
        <v>Female</v>
      </c>
      <c r="J4" s="15" t="str">
        <f t="shared" ref="J4:K4" si="0">C4</f>
        <v>Male</v>
      </c>
      <c r="K4" s="15" t="str">
        <f t="shared" si="0"/>
        <v>Other</v>
      </c>
      <c r="L4" s="16" t="str">
        <f>E4</f>
        <v>Unknown</v>
      </c>
    </row>
    <row r="5" spans="1:12" x14ac:dyDescent="0.35">
      <c r="A5" s="9" t="s">
        <v>18</v>
      </c>
      <c r="B5" s="12">
        <v>0.18961825201634841</v>
      </c>
      <c r="C5" s="12">
        <v>0.12262322351336576</v>
      </c>
      <c r="D5" s="12">
        <v>1.060537752469185E-2</v>
      </c>
      <c r="E5" s="12">
        <v>3.0599220547662797E-2</v>
      </c>
      <c r="F5" s="12">
        <v>0.35344607360206881</v>
      </c>
      <c r="H5" s="17" t="str">
        <f>A5</f>
        <v>App</v>
      </c>
      <c r="I5" s="13">
        <f t="shared" ref="I5:I9" si="1">B5</f>
        <v>0.18961825201634841</v>
      </c>
      <c r="J5" s="13">
        <f t="shared" ref="J5:J9" si="2">C5</f>
        <v>0.12262322351336576</v>
      </c>
      <c r="K5" s="13">
        <f t="shared" ref="K5:K9" si="3">D5</f>
        <v>1.060537752469185E-2</v>
      </c>
      <c r="L5" s="18">
        <f t="shared" ref="L5:L9" si="4">E5</f>
        <v>3.0599220547662797E-2</v>
      </c>
    </row>
    <row r="6" spans="1:12" x14ac:dyDescent="0.35">
      <c r="A6" s="9" t="s">
        <v>51</v>
      </c>
      <c r="B6" s="12">
        <v>5.0283982091147303E-2</v>
      </c>
      <c r="C6" s="12">
        <v>4.3060781812819873E-2</v>
      </c>
      <c r="D6" s="12">
        <v>1.5320025675641944E-3</v>
      </c>
      <c r="E6" s="12">
        <v>1.7794988689097006E-2</v>
      </c>
      <c r="F6" s="12">
        <v>0.11267175516062837</v>
      </c>
      <c r="H6" s="17" t="str">
        <f t="shared" ref="H6:H9" si="5">A6</f>
        <v>Instagram</v>
      </c>
      <c r="I6" s="13">
        <f t="shared" si="1"/>
        <v>5.0283982091147303E-2</v>
      </c>
      <c r="J6" s="13">
        <f t="shared" si="2"/>
        <v>4.3060781812819873E-2</v>
      </c>
      <c r="K6" s="13">
        <f t="shared" si="3"/>
        <v>1.5320025675641944E-3</v>
      </c>
      <c r="L6" s="18">
        <f t="shared" si="4"/>
        <v>1.7794988689097006E-2</v>
      </c>
    </row>
    <row r="7" spans="1:12" x14ac:dyDescent="0.35">
      <c r="A7" s="9" t="s">
        <v>70</v>
      </c>
      <c r="B7" s="12">
        <v>6.3496059750411282E-2</v>
      </c>
      <c r="C7" s="12">
        <v>4.6071629863988765E-2</v>
      </c>
      <c r="D7" s="12">
        <v>2.306247051322625E-3</v>
      </c>
      <c r="E7" s="12">
        <v>3.8927934093844286E-3</v>
      </c>
      <c r="F7" s="12">
        <v>0.11576673007510711</v>
      </c>
      <c r="H7" s="17" t="str">
        <f t="shared" si="5"/>
        <v>Partner App</v>
      </c>
      <c r="I7" s="13">
        <f t="shared" si="1"/>
        <v>6.3496059750411282E-2</v>
      </c>
      <c r="J7" s="13">
        <f t="shared" si="2"/>
        <v>4.6071629863988765E-2</v>
      </c>
      <c r="K7" s="13">
        <f t="shared" si="3"/>
        <v>2.306247051322625E-3</v>
      </c>
      <c r="L7" s="18">
        <f t="shared" si="4"/>
        <v>3.8927934093844286E-3</v>
      </c>
    </row>
    <row r="8" spans="1:12" x14ac:dyDescent="0.35">
      <c r="A8" s="9" t="s">
        <v>40</v>
      </c>
      <c r="B8" s="12">
        <v>9.6337892927149532E-2</v>
      </c>
      <c r="C8" s="12">
        <v>6.7920115842382611E-2</v>
      </c>
      <c r="D8" s="12">
        <v>5.4979832664581261E-3</v>
      </c>
      <c r="E8" s="12">
        <v>1.2933041488102518E-2</v>
      </c>
      <c r="F8" s="12">
        <v>0.1826890335240928</v>
      </c>
      <c r="H8" s="17" t="str">
        <f t="shared" si="5"/>
        <v>Target.com</v>
      </c>
      <c r="I8" s="13">
        <f t="shared" si="1"/>
        <v>9.6337892927149532E-2</v>
      </c>
      <c r="J8" s="13">
        <f t="shared" si="2"/>
        <v>6.7920115842382611E-2</v>
      </c>
      <c r="K8" s="13">
        <f t="shared" si="3"/>
        <v>5.4979832664581261E-3</v>
      </c>
      <c r="L8" s="18">
        <f t="shared" si="4"/>
        <v>1.2933041488102518E-2</v>
      </c>
    </row>
    <row r="9" spans="1:12" ht="15" thickBot="1" x14ac:dyDescent="0.4">
      <c r="A9" s="9" t="s">
        <v>35</v>
      </c>
      <c r="B9" s="12">
        <v>0.12522098709469262</v>
      </c>
      <c r="C9" s="12">
        <v>9.1492740283116228E-2</v>
      </c>
      <c r="D9" s="12">
        <v>6.3042760790965081E-3</v>
      </c>
      <c r="E9" s="12">
        <v>1.2408404181197551E-2</v>
      </c>
      <c r="F9" s="12">
        <v>0.23542640763810288</v>
      </c>
      <c r="H9" s="19" t="str">
        <f t="shared" si="5"/>
        <v>Website</v>
      </c>
      <c r="I9" s="20">
        <f t="shared" si="1"/>
        <v>0.12522098709469262</v>
      </c>
      <c r="J9" s="20">
        <f t="shared" si="2"/>
        <v>9.1492740283116228E-2</v>
      </c>
      <c r="K9" s="20">
        <f t="shared" si="3"/>
        <v>6.3042760790965081E-3</v>
      </c>
      <c r="L9" s="21">
        <f t="shared" si="4"/>
        <v>1.2408404181197551E-2</v>
      </c>
    </row>
    <row r="10" spans="1:12" x14ac:dyDescent="0.35">
      <c r="A10" s="9" t="s">
        <v>2529</v>
      </c>
      <c r="B10" s="12">
        <v>0.52495717387974916</v>
      </c>
      <c r="C10" s="12">
        <v>0.3711684913156732</v>
      </c>
      <c r="D10" s="12">
        <v>2.6245886489133303E-2</v>
      </c>
      <c r="E10" s="12">
        <v>7.7628448315444312E-2</v>
      </c>
      <c r="F10" s="12">
        <v>1</v>
      </c>
    </row>
  </sheetData>
  <conditionalFormatting sqref="I5:L9">
    <cfRule type="colorScale" priority="1">
      <colorScale>
        <cfvo type="min"/>
        <cfvo type="percentile" val="50"/>
        <cfvo type="max"/>
        <color rgb="FFF8696B"/>
        <color rgb="FFFCFCFF"/>
        <color rgb="FF63BE7B"/>
      </colorScale>
    </cfRule>
  </conditionalFormatting>
  <pageMargins left="0.7" right="0.7" top="0.75" bottom="0.75" header="0.3" footer="0.3"/>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C17" sqref="C17"/>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 Table</vt:lpstr>
      <vt:lpstr>Dashboard</vt:lpstr>
      <vt:lpstr>Pivot 2</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Saumya Shukla</cp:lastModifiedBy>
  <dcterms:created xsi:type="dcterms:W3CDTF">2025-06-13T02:42:26Z</dcterms:created>
  <dcterms:modified xsi:type="dcterms:W3CDTF">2026-07-07T10:18:12Z</dcterms:modified>
</cp:coreProperties>
</file>